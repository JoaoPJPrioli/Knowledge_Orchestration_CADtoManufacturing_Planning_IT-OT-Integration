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Physical reference" sheetId="2" state="visible" r:id="rId4"/>
    <sheet name="Reference plan" sheetId="3" state="visible" r:id="rId5"/>
    <sheet name="Judgements" sheetId="4" state="visible" r:id="rId6"/>
    <sheet name="Step verdicts" sheetId="5" state="visible" r:id="rId7"/>
    <sheet name="Summary"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<sst xmlns="http://schemas.openxmlformats.org/spreadsheetml/2006/main" count="568" uniqueCount="276">
  <si>
    <t xml:space="preserve">Independent review of the reference process plan and operation-family verdicts</t>
  </si>
  <si>
    <t xml:space="preserve">Manuscript JII-D-26-01583, motor-shaft remanufacturing case (Journal of Industrial Information Integration).</t>
  </si>
  <si>
    <t xml:space="preserve">Purpose</t>
  </si>
  <si>
    <t xml:space="preserve">The manuscript scores a knowledge-based process planner against a reference process plan for the replacement shaft and against the operation family that each physical feature requires. Both references were drafted by the authors. This workbook asks an experienced process planner who is not an author to confirm or correct them, so that the manuscript can state that the references were independently reviewed.</t>
  </si>
  <si>
    <t xml:space="preserve">How to answer</t>
  </si>
  <si>
    <t xml:space="preserve">Fill only the yellow cells. In each 'Reviewer verdict' cell choose Agree, Agree with change, or Disagree from the list; for 'Agree with change' or 'Disagree', write the correction in 'Reviewer comment'. The grey italic row under each header is an example of the expected format and is not part of the review. Sheet 'Summary' counts the answers automatically.</t>
  </si>
  <si>
    <t xml:space="preserve">What to review (about 1 to 2 hours)</t>
  </si>
  <si>
    <t xml:space="preserve">1. Physical reference: does each feature of the replacement shaft require the stated operation family?</t>
  </si>
  <si>
    <t xml:space="preserve">2. Reference plan: are the operations, set-ups, machines, and tools sound practice for this shaft?</t>
  </si>
  <si>
    <t xml:space="preserve">3. Judgements J01 to J17: the assumptions behind the plan.</t>
  </si>
  <si>
    <t xml:space="preserve">4. Step verdicts: is each planned step's operation family correct (Correct) or not (Wrong) for the physical feature?</t>
  </si>
  <si>
    <t xml:space="preserve">Context</t>
  </si>
  <si>
    <t xml:space="preserve">The shaft is the drive end of an IEC frame-90 three-phase motor: D 24 j6, E 50, keyway 8 x 4 x 40 (key fitted after machining), M8 threaded centre hole (tap drill 6.8, counterbore 8.4, 60 deg countersink 12.2), AISI 1045. The catalogue CAD shows the key fitted and omits the thread. The modelled machine is a 2-axis CNC lathe (Fanuc 0i-TD class, 4500 rpm, no driven tooling).</t>
  </si>
  <si>
    <t xml:space="preserve">Reviewer (please complete)</t>
  </si>
  <si>
    <t xml:space="preserve">Name</t>
  </si>
  <si>
    <t xml:space="preserve">Position and organisation</t>
  </si>
  <si>
    <t xml:space="preserve">Years of process-planning experience</t>
  </si>
  <si>
    <t xml:space="preserve">Relationship to the authors (state 'none' if none)</t>
  </si>
  <si>
    <t xml:space="preserve">Date</t>
  </si>
  <si>
    <t xml:space="preserve">Signature or e-mail confirmation</t>
  </si>
  <si>
    <t xml:space="preserve">Physical reference</t>
  </si>
  <si>
    <t xml:space="preserve">Operation family that each feature of the physical replacement shaft requires. Families use the planner's own vocabulary (turning, facing, grooving, chamfering, drilling, counterboring, milling, tapping).</t>
  </si>
  <si>
    <t xml:space="preserve">Id</t>
  </si>
  <si>
    <t xml:space="preserve">Feature of the replacement shaft</t>
  </si>
  <si>
    <t xml:space="preserve">Required operation family</t>
  </si>
  <si>
    <t xml:space="preserve">Auxiliary family accepted</t>
  </si>
  <si>
    <t xml:space="preserve">B-Rep feature</t>
  </si>
  <si>
    <t xml:space="preserve">Drawing feature</t>
  </si>
  <si>
    <t xml:space="preserve">Reviewer verdict</t>
  </si>
  <si>
    <t xml:space="preserve">Reviewer comment</t>
  </si>
  <si>
    <t xml:space="preserve">P00</t>
  </si>
  <si>
    <t xml:space="preserve">example: shoulder face</t>
  </si>
  <si>
    <t xml:space="preserve">facing</t>
  </si>
  <si>
    <t xml:space="preserve">none</t>
  </si>
  <si>
    <t xml:space="preserve">R00</t>
  </si>
  <si>
    <t xml:space="preserve">D00</t>
  </si>
  <si>
    <t xml:space="preserve">Agree with change</t>
  </si>
  <si>
    <t xml:space="preserve">should be turned in the finishing contour</t>
  </si>
  <si>
    <t xml:space="preserve">P01</t>
  </si>
  <si>
    <t xml:space="preserve">lower body Ø24.95 x 37.5</t>
  </si>
  <si>
    <t xml:space="preserve">turning</t>
  </si>
  <si>
    <t xml:space="preserve">R01</t>
  </si>
  <si>
    <t xml:space="preserve">D02</t>
  </si>
  <si>
    <t xml:space="preserve">P02</t>
  </si>
  <si>
    <t xml:space="preserve">chamfer 0.5 x 45 deg at the shoulder</t>
  </si>
  <si>
    <t xml:space="preserve">chamfering</t>
  </si>
  <si>
    <t xml:space="preserve">R02</t>
  </si>
  <si>
    <t xml:space="preserve">P03</t>
  </si>
  <si>
    <t xml:space="preserve">relief groove Ø23.6 x 1.75</t>
  </si>
  <si>
    <t xml:space="preserve">grooving</t>
  </si>
  <si>
    <t xml:space="preserve">R03</t>
  </si>
  <si>
    <t xml:space="preserve">D03</t>
  </si>
  <si>
    <t xml:space="preserve">P04</t>
  </si>
  <si>
    <t xml:space="preserve">15 deg conical transition Ø23.6 to Ø24</t>
  </si>
  <si>
    <t xml:space="preserve">R04</t>
  </si>
  <si>
    <t xml:space="preserve">P05</t>
  </si>
  <si>
    <t xml:space="preserve">upper body (shaft extension) Ø24 j6 x 46.5</t>
  </si>
  <si>
    <t xml:space="preserve">R05</t>
  </si>
  <si>
    <t xml:space="preserve">D01</t>
  </si>
  <si>
    <t xml:space="preserve">P06</t>
  </si>
  <si>
    <t xml:space="preserve">end chamfer 1 x 45 deg, Ø24 to Ø22</t>
  </si>
  <si>
    <t xml:space="preserve">R10</t>
  </si>
  <si>
    <t xml:space="preserve">D06</t>
  </si>
  <si>
    <t xml:space="preserve">P07a</t>
  </si>
  <si>
    <t xml:space="preserve">centre hole: tap drill Ø6.8 x 19, 118 deg point</t>
  </si>
  <si>
    <t xml:space="preserve">drilling</t>
  </si>
  <si>
    <t xml:space="preserve">R07</t>
  </si>
  <si>
    <t xml:space="preserve">D05a</t>
  </si>
  <si>
    <t xml:space="preserve">P07b</t>
  </si>
  <si>
    <t xml:space="preserve">centre hole: counterbore Ø8.4 (thread relief)</t>
  </si>
  <si>
    <t xml:space="preserve">counterboring</t>
  </si>
  <si>
    <t xml:space="preserve">R08</t>
  </si>
  <si>
    <t xml:space="preserve">D05b</t>
  </si>
  <si>
    <t xml:space="preserve">P07c</t>
  </si>
  <si>
    <t xml:space="preserve">centre hole: 60 deg countersink to Ø12.2</t>
  </si>
  <si>
    <t xml:space="preserve">R09</t>
  </si>
  <si>
    <t xml:space="preserve">D05c</t>
  </si>
  <si>
    <t xml:space="preserve">P07d</t>
  </si>
  <si>
    <t xml:space="preserve">centre hole: M8 thread</t>
  </si>
  <si>
    <t xml:space="preserve">tapping</t>
  </si>
  <si>
    <t xml:space="preserve">P08</t>
  </si>
  <si>
    <t xml:space="preserve">keyway 8 x 4 x 40 with full-radius ends (key fitted afterwards, assembly not machining)</t>
  </si>
  <si>
    <t xml:space="preserve">milling</t>
  </si>
  <si>
    <t xml:space="preserve">R06</t>
  </si>
  <si>
    <t xml:space="preserve">D04</t>
  </si>
  <si>
    <t xml:space="preserve">Reference plan</t>
  </si>
  <si>
    <t xml:space="preserve">Reference process plan for the replacement shaft (22 lines; the lines marked 'scored' are the 16 required operations against which the generated plan is scored). S10 and S20 on the CNC lathe; S30 keyway on a milling machine; S40 optional grinding; S50 inspection.</t>
  </si>
  <si>
    <t xml:space="preserve">Op</t>
  </si>
  <si>
    <t xml:space="preserve">Set-up</t>
  </si>
  <si>
    <t xml:space="preserve">Operation and feature</t>
  </si>
  <si>
    <t xml:space="preserve">Family</t>
  </si>
  <si>
    <t xml:space="preserve">Machine</t>
  </si>
  <si>
    <t xml:space="preserve">Tool</t>
  </si>
  <si>
    <t xml:space="preserve">Scored?</t>
  </si>
  <si>
    <t xml:space="preserve">Judgements</t>
  </si>
  <si>
    <t xml:space="preserve">00.00</t>
  </si>
  <si>
    <t xml:space="preserve">S00</t>
  </si>
  <si>
    <t xml:space="preserve">example: face drive end</t>
  </si>
  <si>
    <t xml:space="preserve">CNC lathe</t>
  </si>
  <si>
    <t xml:space="preserve">CNMG 120408</t>
  </si>
  <si>
    <t xml:space="preserve">scored</t>
  </si>
  <si>
    <t xml:space="preserve">J05</t>
  </si>
  <si>
    <t xml:space="preserve">Agree</t>
  </si>
  <si>
    <t xml:space="preserve">10.01</t>
  </si>
  <si>
    <t xml:space="preserve">S10</t>
  </si>
  <si>
    <t xml:space="preserve">Drive-end (DE) face, z = 168.5</t>
  </si>
  <si>
    <t xml:space="preserve">CNC lathe (CNCLatheFanuc0iTD)</t>
  </si>
  <si>
    <t xml:space="preserve">CNMG 120408 rough + CNMG 120404 finish pass (TurningInsertRough / TurningInsertFinish)</t>
  </si>
  <si>
    <t xml:space="preserve">10.02</t>
  </si>
  <si>
    <t xml:space="preserve">Spot/centre on axis before tap drill</t>
  </si>
  <si>
    <t xml:space="preserve">centre_drilling</t>
  </si>
  <si>
    <t xml:space="preserve">Spot drill 90 deg or DIN 332-2 form-DS stepped centre drill</t>
  </si>
  <si>
    <t xml:space="preserve">conditional</t>
  </si>
  <si>
    <t xml:space="preserve">J07</t>
  </si>
  <si>
    <t xml:space="preserve">10.03</t>
  </si>
  <si>
    <t xml:space="preserve">Tap-drill hole d 6.8, full-diameter depth 25.0 from DE face (R07)</t>
  </si>
  <si>
    <t xml:space="preserve">HSS twist drill 6.8, 118 deg (DrillBit); axial peck cycle at X0</t>
  </si>
  <si>
    <t xml:space="preserve">10.04</t>
  </si>
  <si>
    <t xml:space="preserve">Counterbore d 8.4, flat floor at z = 162.5 (R08)</t>
  </si>
  <si>
    <t xml:space="preserve">Flat-bottom counterbore (CounterboreCutter) or step of DIN 332-2 drill</t>
  </si>
  <si>
    <t xml:space="preserve">J07, J10</t>
  </si>
  <si>
    <t xml:space="preserve">10.05</t>
  </si>
  <si>
    <t xml:space="preserve">60 deg countersink to d 12.2 (R09), DIN 332-2 centre seat</t>
  </si>
  <si>
    <t xml:space="preserve">60 deg countersink / DIN 332-2 stepped drill; NOT in tools.owl (only 90 deg chamfer tools)</t>
  </si>
  <si>
    <t xml:space="preserve">J07, J12</t>
  </si>
  <si>
    <t xml:space="preserve">10.06</t>
  </si>
  <si>
    <t xml:space="preserve">Engage tailstock live 60 deg centre in R09</t>
  </si>
  <si>
    <t xml:space="preserve">setup_element</t>
  </si>
  <si>
    <t xml:space="preserve">Live centre; tailstock not modelled in machines.owl</t>
  </si>
  <si>
    <t xml:space="preserve">setup</t>
  </si>
  <si>
    <t xml:space="preserve">10.07a</t>
  </si>
  <si>
    <t xml:space="preserve">Rough turn d 24.0 seat (R05), leave 0.2-0.3 on diameter</t>
  </si>
  <si>
    <t xml:space="preserve">rough_turning</t>
  </si>
  <si>
    <t xml:space="preserve">CNMG 120408 (TurningInsertRough)</t>
  </si>
  <si>
    <t xml:space="preserve">J01</t>
  </si>
  <si>
    <t xml:space="preserve">10.07b</t>
  </si>
  <si>
    <t xml:space="preserve">Rough turn d 24.95 body (R01) back past NDE face + parting width</t>
  </si>
  <si>
    <t xml:space="preserve">J01, J17</t>
  </si>
  <si>
    <t xml:space="preserve">10.08a</t>
  </si>
  <si>
    <t xml:space="preserve">Undercut d 23.6 x 1.754 at shaft-end root (R03)</t>
  </si>
  <si>
    <t xml:space="preserve">Grooving/profiling insert of width &lt;= 1.5 mm with corner radius, or undercut form insert; tools.owl GroovingTool is 2 mm wide</t>
  </si>
  <si>
    <t xml:space="preserve">J04, J08</t>
  </si>
  <si>
    <t xml:space="preserve">10.08b</t>
  </si>
  <si>
    <t xml:space="preserve">15 deg run-out cone d 23.6 -&gt; 24.0 (R04)</t>
  </si>
  <si>
    <t xml:space="preserve">grooving|chamfering|finish_turning</t>
  </si>
  <si>
    <t xml:space="preserve">Profiled with the undercut tool or in the finishing contour</t>
  </si>
  <si>
    <t xml:space="preserve">J09</t>
  </si>
  <si>
    <t xml:space="preserve">10.09a</t>
  </si>
  <si>
    <t xml:space="preserve">Finish turn d 24 j6 seat (R05): +0.009/-0.004</t>
  </si>
  <si>
    <t xml:space="preserve">finish_turning</t>
  </si>
  <si>
    <t xml:space="preserve">CNMG 120404 (TurningInsertFinish) or 35 deg profiling insert; G42 nose-radius compensation, in-process gauging</t>
  </si>
  <si>
    <t xml:space="preserve">J04</t>
  </si>
  <si>
    <t xml:space="preserve">10.09b</t>
  </si>
  <si>
    <t xml:space="preserve">Finish turn d 24.95 body (R01)</t>
  </si>
  <si>
    <t xml:space="preserve">CNMG 120404 (TurningInsertFinish)</t>
  </si>
  <si>
    <t xml:space="preserve">J17</t>
  </si>
  <si>
    <t xml:space="preserve">10.09c</t>
  </si>
  <si>
    <t xml:space="preserve">1 x 45 deg end chamfer d 24 -&gt; 22 (R10), turned in contour</t>
  </si>
  <si>
    <t xml:space="preserve">Turning insert (contour); not a chamfer mill</t>
  </si>
  <si>
    <t xml:space="preserve">J12</t>
  </si>
  <si>
    <t xml:space="preserve">10.09d</t>
  </si>
  <si>
    <t xml:space="preserve">0.5 x 45 deg chamfer d 24.95 -&gt; 23.95 (R02), turned in contour</t>
  </si>
  <si>
    <t xml:space="preserve">10.10</t>
  </si>
  <si>
    <t xml:space="preserve">Tap M8 x 1.25-6H in R07 (thread depth per DIN 332-2)</t>
  </si>
  <si>
    <t xml:space="preserve">HSS-E spiral-flute machine tap, rigid tapping (G84, stationary tap on centreline) or floating holder; NOT in ontology</t>
  </si>
  <si>
    <t xml:space="preserve">J06</t>
  </si>
  <si>
    <t xml:space="preserve">10.11</t>
  </si>
  <si>
    <t xml:space="preserve">Part off at z ~ 80.0 (0.5 mm facing allowance)</t>
  </si>
  <si>
    <t xml:space="preserve">parting</t>
  </si>
  <si>
    <t xml:space="preserve">Parting blade/insert; NOT in ontology</t>
  </si>
  <si>
    <t xml:space="preserve">J14</t>
  </si>
  <si>
    <t xml:space="preserve">20.01</t>
  </si>
  <si>
    <t xml:space="preserve">S20</t>
  </si>
  <si>
    <t xml:space="preserve">Non-drive-end (NDE) face to overall length 88.0, z = 80.5</t>
  </si>
  <si>
    <t xml:space="preserve">CNC lathe (reversed, soft jaws on d 24.95, stop on R02 shoulder)</t>
  </si>
  <si>
    <t xml:space="preserve">J05, J17</t>
  </si>
  <si>
    <t xml:space="preserve">20.02</t>
  </si>
  <si>
    <t xml:space="preserve">Edge break NDE outer edge (not modelled in CAD)</t>
  </si>
  <si>
    <t xml:space="preserve">Turning insert</t>
  </si>
  <si>
    <t xml:space="preserve">False</t>
  </si>
  <si>
    <t xml:space="preserve">J16</t>
  </si>
  <si>
    <t xml:space="preserve">30.01</t>
  </si>
  <si>
    <t xml:space="preserve">S30</t>
  </si>
  <si>
    <t xml:space="preserve">Keyway 8 N9 (7.964-8.000) x t1 4.0 +0.2 x 40, form A (R4 ends), z 123.5-163.5, symmetric to axis</t>
  </si>
  <si>
    <t xml:space="preserve">Vertical milling machine / VMC (NOT in machines.owl)</t>
  </si>
  <si>
    <t xml:space="preserve">2-flute carbide keyway end mill d 8 (keyway tolerance) or undersize rough + side finish; tools.owl EndMill is a generic 4-flute</t>
  </si>
  <si>
    <t xml:space="preserve">J02, J03, J13</t>
  </si>
  <si>
    <t xml:space="preserve">30.02</t>
  </si>
  <si>
    <t xml:space="preserve">Deburr keyway edges</t>
  </si>
  <si>
    <t xml:space="preserve">deburring</t>
  </si>
  <si>
    <t xml:space="preserve">Vertical milling machine / VMC</t>
  </si>
  <si>
    <t xml:space="preserve">Hand/brush</t>
  </si>
  <si>
    <t xml:space="preserve">40.01</t>
  </si>
  <si>
    <t xml:space="preserve">S40 (optional)</t>
  </si>
  <si>
    <t xml:space="preserve">Grind d 24 j6 seat (R05) if turning cannot hold IT6</t>
  </si>
  <si>
    <t xml:space="preserve">grinding</t>
  </si>
  <si>
    <t xml:space="preserve">Cylindrical grinder (NOT in machines.owl)</t>
  </si>
  <si>
    <t xml:space="preserve">Plain wheel; undercut R03/R04 gives run-out</t>
  </si>
  <si>
    <t xml:space="preserve">50.01</t>
  </si>
  <si>
    <t xml:space="preserve">S50</t>
  </si>
  <si>
    <t xml:space="preserve">j6 seat, run-out (IEC 60072-1 class), keyway width/depth (G = 20.0)/symmetry, M8-6H plug gauge, E = 50, GA = 27 after key fitted</t>
  </si>
  <si>
    <t xml:space="preserve">inspection</t>
  </si>
  <si>
    <t xml:space="preserve">Inspection</t>
  </si>
  <si>
    <t xml:space="preserve">Air gauge/micrometer, slot gauge, thread plug gauge</t>
  </si>
  <si>
    <t xml:space="preserve">J03, J16</t>
  </si>
  <si>
    <t xml:space="preserve">Judgement calls behind the reference plan and the step verdicts.</t>
  </si>
  <si>
    <t xml:space="preserve">Judgement</t>
  </si>
  <si>
    <t xml:space="preserve">J00</t>
  </si>
  <si>
    <t xml:space="preserve">example: stock is d 30 bar</t>
  </si>
  <si>
    <t xml:space="preserve">Stock d 30 cold-drawn AISI 1045, about 170 to 210 HB; resolve the HRC 25 versus UTS 570 MPa inconsistency in `materials.owl`.</t>
  </si>
  <si>
    <t xml:space="preserve">J02</t>
  </si>
  <si>
    <t xml:space="preserve">The catalogue CAD shows the key fitted; the replacement shaft has keyway 8 x 4 x 40 form A and an M8 threaded centre hole (IEC 60072-1 frame 90).</t>
  </si>
  <si>
    <t xml:space="preserve">J03</t>
  </si>
  <si>
    <t xml:space="preserve">Keyway width N9 (normal fit) rather than P9; t1 = 4.0 +0.2; position and symmetry tolerance to be taken from the customer drawing.</t>
  </si>
  <si>
    <t xml:space="preserve">j6 seat by finish turning with in-process gauging; optional cylindrical grinding (S40) because the R03/R04 undercut looks like a grinding relief.</t>
  </si>
  <si>
    <t xml:space="preserve">Workholding: chuck plus tailstock live centre in the DS countersink in S10; reversal on soft jaws on d 24.95 in S20; sequence as in Section 2.</t>
  </si>
  <si>
    <t xml:space="preserve">Thread M8 x 1.25-6H, depth per DIN 332-2; tapping on the lathe at the spindle centreline (not off-machine).</t>
  </si>
  <si>
    <t xml:space="preserve">Centre-hole tooling: separate spot drill, 6.8 drill, 8.4 counterbore and 60 deg countersink, or one DIN 332-2 form-DS stepped centre drill (then 10.02 is not needed).</t>
  </si>
  <si>
    <t xml:space="preserve">J08</t>
  </si>
  <si>
    <t xml:space="preserve">The R03 recess needs a grooving or profiling tool; longitudinal turning with an 80 deg CNMG insert is judged unable to form a recess that lies below both neighbouring diameters and is entered over a 15 deg ramp. The 2 mm `GroovingTool` is wider than the 1.754 mm land.</t>
  </si>
  <si>
    <t xml:space="preserve">R04 (15 deg cone) may be produced by grooving/profiling, as a chamfer, or in the finishing contour; all three families accepted.</t>
  </si>
  <si>
    <t xml:space="preserve">J10</t>
  </si>
  <si>
    <t xml:space="preserve">R08 is flat-bottomed (B-Rep PLANE at z 162.5), so it is counterbored; pre-drilling it with a 118 deg 8.4 drill is not the reference practice.</t>
  </si>
  <si>
    <t xml:space="preserve">J11</t>
  </si>
  <si>
    <t xml:space="preserve">Key-region entities: Boss (entities 10, 18) = the fitted key, not a machined feature of the shaft; Through Hole (11, 12) = misread keyway end radii (real location, wrong family); Slot (13, 14, 22) = keyway (milling, correct family).</t>
  </si>
  <si>
    <t xml:space="preserve">External chamfers are turned with the turning insert in the contour; a rotating chamfer mill cannot be driven on a lathe without driven tooling, and a 90 deg chamfer tool cannot form the 60 deg countersink R09.</t>
  </si>
  <si>
    <t xml:space="preserve">J13</t>
  </si>
  <si>
    <t xml:space="preserve">Keyway on a vertical milling machine or VMC with a 2-flute keyway cutter (a keyseater or a lathe with driven tooling and C-axis would be alternatives).</t>
  </si>
  <si>
    <t xml:space="preserve">Parting from bar in S10 (if sawn blanks are used, 10.11 disappears but both facing operations remain).</t>
  </si>
  <si>
    <t xml:space="preserve">J15</t>
  </si>
  <si>
    <t xml:space="preserve">Handbook-type cutting-speed bands and the uncoated/coated reading of the `tools.owl` material strings (`parameter_audit.md`).</t>
  </si>
  <si>
    <t xml:space="preserve">Edge break on the NDE edge, deburring and the inspection plan; run-out class per IEC 60072-1.</t>
  </si>
  <si>
    <t xml:space="preserve">The modelled 88 mm solid is the complete replacement part (the pipeline makes the same assumption). If z = 80.5 is a truncation of a longer rotor shaft, S20 and 10.11 change and the d 24.95 body may carry a bearing-seat tolerance.</t>
  </si>
  <si>
    <t xml:space="preserve">Step verdicts</t>
  </si>
  <si>
    <t xml:space="preserve">Each of the 32 planned steps, with the authors' verdict on whether its operation family is the one the physical feature requires. Correct/Wrong is about the operation family only, not the tool or the cutting parameters.</t>
  </si>
  <si>
    <t xml:space="preserve">Step</t>
  </si>
  <si>
    <t xml:space="preserve">Entity</t>
  </si>
  <si>
    <t xml:space="preserve">Extracted label</t>
  </si>
  <si>
    <t xml:space="preserve">Planned operation</t>
  </si>
  <si>
    <t xml:space="preserve">Status</t>
  </si>
  <si>
    <t xml:space="preserve">Physical feature</t>
  </si>
  <si>
    <t xml:space="preserve">Family it requires</t>
  </si>
  <si>
    <t xml:space="preserve">Authors' verdict (Level M)</t>
  </si>
  <si>
    <t xml:space="preserve">rough turning</t>
  </si>
  <si>
    <t xml:space="preserve">approved, serialised</t>
  </si>
  <si>
    <t xml:space="preserve">lower body</t>
  </si>
  <si>
    <t xml:space="preserve">Correct</t>
  </si>
  <si>
    <t xml:space="preserve">Boss</t>
  </si>
  <si>
    <t xml:space="preserve">approved, refused by the serialiser</t>
  </si>
  <si>
    <t xml:space="preserve">keyway</t>
  </si>
  <si>
    <t xml:space="preserve">Wrong</t>
  </si>
  <si>
    <t xml:space="preserve">groove</t>
  </si>
  <si>
    <t xml:space="preserve">upper body</t>
  </si>
  <si>
    <t xml:space="preserve">Cylinder</t>
  </si>
  <si>
    <t xml:space="preserve">finish turning</t>
  </si>
  <si>
    <t xml:space="preserve">Blind Hole</t>
  </si>
  <si>
    <t xml:space="preserve">tap-drill hole</t>
  </si>
  <si>
    <t xml:space="preserve">Counterbore</t>
  </si>
  <si>
    <t xml:space="preserve">counterbore</t>
  </si>
  <si>
    <t xml:space="preserve">Through Hole</t>
  </si>
  <si>
    <t xml:space="preserve">withheld by the gate</t>
  </si>
  <si>
    <t xml:space="preserve">Hole</t>
  </si>
  <si>
    <t xml:space="preserve">countersink</t>
  </si>
  <si>
    <t xml:space="preserve">Chamfer</t>
  </si>
  <si>
    <t xml:space="preserve">0.5 chamfer</t>
  </si>
  <si>
    <t xml:space="preserve">15$^\circ$ chamfer</t>
  </si>
  <si>
    <t xml:space="preserve">end chamfer</t>
  </si>
  <si>
    <t xml:space="preserve">Groove</t>
  </si>
  <si>
    <t xml:space="preserve">Slot</t>
  </si>
  <si>
    <t xml:space="preserve">Summary of the review (counts update automatically)</t>
  </si>
  <si>
    <t xml:space="preserve">Sheet</t>
  </si>
  <si>
    <t xml:space="preserve">Items</t>
  </si>
  <si>
    <t xml:space="preserve">Disagree</t>
  </si>
  <si>
    <t xml:space="preserve">Not yet answered</t>
  </si>
  <si>
    <t xml:space="preserve">Total</t>
  </si>
  <si>
    <t xml:space="preserve">Ranges exclude the grey example row of each sheet.</t>
  </si>
</sst>
</file>

<file path=xl/styles.xml><?xml version="1.0" encoding="utf-8"?>
<styleSheet xmlns="http://schemas.openxmlformats.org/spreadsheetml/2006/main">
  <numFmts count="1">
    <numFmt numFmtId="164" formatCode="General"/>
  </numFmts>
  <fonts count="14">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sz val="10"/>
      <name val="Arial"/>
      <family val="0"/>
      <charset val="1"/>
    </font>
    <font>
      <b val="true"/>
      <sz val="11"/>
      <name val="Arial"/>
      <family val="0"/>
      <charset val="1"/>
    </font>
    <font>
      <b val="true"/>
      <sz val="10"/>
      <name val="Arial"/>
      <family val="0"/>
      <charset val="1"/>
    </font>
    <font>
      <i val="true"/>
      <sz val="10"/>
      <name val="Arial"/>
      <family val="0"/>
      <charset val="1"/>
    </font>
    <font>
      <b val="true"/>
      <sz val="11"/>
      <color rgb="FFFFFFFF"/>
      <name val="Arial"/>
      <family val="0"/>
      <charset val="1"/>
    </font>
    <font>
      <i val="true"/>
      <sz val="10"/>
      <color rgb="FF7F7F7F"/>
      <name val="Arial"/>
      <family val="0"/>
      <charset val="1"/>
    </font>
    <font>
      <sz val="10"/>
      <color rgb="FF000000"/>
      <name val="Arial"/>
      <family val="0"/>
      <charset val="1"/>
    </font>
    <font>
      <b val="true"/>
      <sz val="10"/>
      <color rgb="FF000000"/>
      <name val="Arial"/>
      <family val="0"/>
      <charset val="1"/>
    </font>
    <font>
      <i val="true"/>
      <sz val="9"/>
      <name val="Arial"/>
      <family val="0"/>
      <charset val="1"/>
    </font>
  </fonts>
  <fills count="5">
    <fill>
      <patternFill patternType="none"/>
    </fill>
    <fill>
      <patternFill patternType="gray125"/>
    </fill>
    <fill>
      <patternFill patternType="solid">
        <fgColor rgb="FFFFF2CC"/>
        <bgColor rgb="FFEDEDED"/>
      </patternFill>
    </fill>
    <fill>
      <patternFill patternType="solid">
        <fgColor rgb="FF1F3864"/>
        <bgColor rgb="FF333333"/>
      </patternFill>
    </fill>
    <fill>
      <patternFill patternType="solid">
        <fgColor rgb="FFEDEDED"/>
        <bgColor rgb="FFFFF2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10" fillId="4"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1" fillId="2" borderId="1"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2CC"/>
      <rgbColor rgb="FFEDEDED"/>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4" min="2" style="0" width="30"/>
  </cols>
  <sheetData>
    <row r="1" customFormat="false" ht="16.15" hidden="false" customHeight="true" outlineLevel="0" collapsed="false">
      <c r="A1" s="1" t="s">
        <v>0</v>
      </c>
      <c r="B1" s="1"/>
      <c r="C1" s="1"/>
      <c r="D1" s="1"/>
    </row>
    <row r="2" customFormat="false" ht="15" hidden="false" customHeight="true" outlineLevel="0" collapsed="false">
      <c r="A2" s="2" t="s">
        <v>1</v>
      </c>
      <c r="B2" s="2"/>
      <c r="C2" s="2"/>
      <c r="D2" s="2"/>
    </row>
    <row r="3" customFormat="false" ht="15" hidden="false" customHeight="false" outlineLevel="0" collapsed="false">
      <c r="A3" s="2"/>
      <c r="B3" s="2"/>
      <c r="C3" s="2"/>
      <c r="D3" s="2"/>
    </row>
    <row r="4" customFormat="false" ht="15" hidden="false" customHeight="true" outlineLevel="0" collapsed="false">
      <c r="A4" s="3" t="s">
        <v>2</v>
      </c>
      <c r="B4" s="3"/>
      <c r="C4" s="3"/>
      <c r="D4" s="3"/>
    </row>
    <row r="5" customFormat="false" ht="60" hidden="false" customHeight="true" outlineLevel="0" collapsed="false">
      <c r="A5" s="2" t="s">
        <v>3</v>
      </c>
      <c r="B5" s="2"/>
      <c r="C5" s="2"/>
      <c r="D5" s="2"/>
    </row>
    <row r="6" customFormat="false" ht="15" hidden="false" customHeight="false" outlineLevel="0" collapsed="false">
      <c r="A6" s="2"/>
      <c r="B6" s="2"/>
      <c r="C6" s="2"/>
      <c r="D6" s="2"/>
    </row>
    <row r="7" customFormat="false" ht="15" hidden="false" customHeight="true" outlineLevel="0" collapsed="false">
      <c r="A7" s="3" t="s">
        <v>4</v>
      </c>
      <c r="B7" s="3"/>
      <c r="C7" s="3"/>
      <c r="D7" s="3"/>
    </row>
    <row r="8" customFormat="false" ht="60" hidden="false" customHeight="true" outlineLevel="0" collapsed="false">
      <c r="A8" s="2" t="s">
        <v>5</v>
      </c>
      <c r="B8" s="2"/>
      <c r="C8" s="2"/>
      <c r="D8" s="2"/>
    </row>
    <row r="9" customFormat="false" ht="15" hidden="false" customHeight="false" outlineLevel="0" collapsed="false">
      <c r="A9" s="2"/>
      <c r="B9" s="2"/>
      <c r="C9" s="2"/>
      <c r="D9" s="2"/>
    </row>
    <row r="10" customFormat="false" ht="15" hidden="false" customHeight="true" outlineLevel="0" collapsed="false">
      <c r="A10" s="3" t="s">
        <v>6</v>
      </c>
      <c r="B10" s="3"/>
      <c r="C10" s="3"/>
      <c r="D10" s="3"/>
    </row>
    <row r="11" customFormat="false" ht="15" hidden="false" customHeight="true" outlineLevel="0" collapsed="false">
      <c r="A11" s="2" t="s">
        <v>7</v>
      </c>
      <c r="B11" s="2"/>
      <c r="C11" s="2"/>
      <c r="D11" s="2"/>
    </row>
    <row r="12" customFormat="false" ht="15" hidden="false" customHeight="true" outlineLevel="0" collapsed="false">
      <c r="A12" s="2" t="s">
        <v>8</v>
      </c>
      <c r="B12" s="2"/>
      <c r="C12" s="2"/>
      <c r="D12" s="2"/>
    </row>
    <row r="13" customFormat="false" ht="15" hidden="false" customHeight="true" outlineLevel="0" collapsed="false">
      <c r="A13" s="2" t="s">
        <v>9</v>
      </c>
      <c r="B13" s="2"/>
      <c r="C13" s="2"/>
      <c r="D13" s="2"/>
    </row>
    <row r="14" customFormat="false" ht="30" hidden="false" customHeight="true" outlineLevel="0" collapsed="false">
      <c r="A14" s="2" t="s">
        <v>10</v>
      </c>
      <c r="B14" s="2"/>
      <c r="C14" s="2"/>
      <c r="D14" s="2"/>
    </row>
    <row r="15" customFormat="false" ht="15" hidden="false" customHeight="false" outlineLevel="0" collapsed="false">
      <c r="A15" s="2"/>
      <c r="B15" s="2"/>
      <c r="C15" s="2"/>
      <c r="D15" s="2"/>
    </row>
    <row r="16" customFormat="false" ht="15" hidden="false" customHeight="true" outlineLevel="0" collapsed="false">
      <c r="A16" s="3" t="s">
        <v>11</v>
      </c>
      <c r="B16" s="3"/>
      <c r="C16" s="3"/>
      <c r="D16" s="3"/>
    </row>
    <row r="17" customFormat="false" ht="60" hidden="false" customHeight="true" outlineLevel="0" collapsed="false">
      <c r="A17" s="2" t="s">
        <v>12</v>
      </c>
      <c r="B17" s="2"/>
      <c r="C17" s="2"/>
      <c r="D17" s="2"/>
    </row>
    <row r="18" customFormat="false" ht="15" hidden="false" customHeight="false" outlineLevel="0" collapsed="false">
      <c r="A18" s="2"/>
      <c r="B18" s="2"/>
      <c r="C18" s="2"/>
      <c r="D18" s="2"/>
    </row>
    <row r="19" customFormat="false" ht="15" hidden="false" customHeight="true" outlineLevel="0" collapsed="false">
      <c r="A19" s="3" t="s">
        <v>13</v>
      </c>
      <c r="B19" s="3"/>
      <c r="C19" s="3"/>
      <c r="D19" s="3"/>
    </row>
    <row r="20" customFormat="false" ht="15" hidden="false" customHeight="false" outlineLevel="0" collapsed="false">
      <c r="A20" s="4" t="s">
        <v>14</v>
      </c>
      <c r="B20" s="5"/>
      <c r="C20" s="5"/>
      <c r="D20" s="5"/>
    </row>
    <row r="21" customFormat="false" ht="15" hidden="false" customHeight="false" outlineLevel="0" collapsed="false">
      <c r="A21" s="4" t="s">
        <v>15</v>
      </c>
      <c r="B21" s="5"/>
      <c r="C21" s="5"/>
      <c r="D21" s="5"/>
    </row>
    <row r="22" customFormat="false" ht="15" hidden="false" customHeight="false" outlineLevel="0" collapsed="false">
      <c r="A22" s="4" t="s">
        <v>16</v>
      </c>
      <c r="B22" s="5"/>
      <c r="C22" s="5"/>
      <c r="D22" s="5"/>
    </row>
    <row r="23" customFormat="false" ht="15" hidden="false" customHeight="false" outlineLevel="0" collapsed="false">
      <c r="A23" s="4" t="s">
        <v>17</v>
      </c>
      <c r="B23" s="5"/>
      <c r="C23" s="5"/>
      <c r="D23" s="5"/>
    </row>
    <row r="24" customFormat="false" ht="15" hidden="false" customHeight="false" outlineLevel="0" collapsed="false">
      <c r="A24" s="4" t="s">
        <v>18</v>
      </c>
      <c r="B24" s="5"/>
      <c r="C24" s="5"/>
      <c r="D24" s="5"/>
    </row>
    <row r="25" customFormat="false" ht="15" hidden="false" customHeight="false" outlineLevel="0" collapsed="false">
      <c r="A25" s="4" t="s">
        <v>19</v>
      </c>
      <c r="B25" s="5"/>
      <c r="C25" s="5"/>
      <c r="D25" s="5"/>
    </row>
  </sheetData>
  <mergeCells count="25">
    <mergeCell ref="A1:D1"/>
    <mergeCell ref="A2:D2"/>
    <mergeCell ref="A3:D3"/>
    <mergeCell ref="A4:D4"/>
    <mergeCell ref="A5:D5"/>
    <mergeCell ref="A6:D6"/>
    <mergeCell ref="A7:D7"/>
    <mergeCell ref="A8:D8"/>
    <mergeCell ref="A9:D9"/>
    <mergeCell ref="A10:D10"/>
    <mergeCell ref="A11:D11"/>
    <mergeCell ref="A12:D12"/>
    <mergeCell ref="A13:D13"/>
    <mergeCell ref="A14:D14"/>
    <mergeCell ref="A15:D15"/>
    <mergeCell ref="A16:D16"/>
    <mergeCell ref="A17:D17"/>
    <mergeCell ref="A18:D18"/>
    <mergeCell ref="A19:D19"/>
    <mergeCell ref="B20:D20"/>
    <mergeCell ref="B21:D21"/>
    <mergeCell ref="B22:D22"/>
    <mergeCell ref="B23:D23"/>
    <mergeCell ref="B24:D24"/>
    <mergeCell ref="B25:D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46"/>
    <col collapsed="false" customWidth="true" hidden="false" outlineLevel="0" max="3" min="3" style="0" width="18"/>
    <col collapsed="false" customWidth="true" hidden="false" outlineLevel="0" max="4" min="4" style="0" width="16"/>
    <col collapsed="false" customWidth="true" hidden="false" outlineLevel="0" max="6" min="5" style="0" width="11"/>
    <col collapsed="false" customWidth="true" hidden="false" outlineLevel="0" max="7" min="7" style="0" width="18"/>
    <col collapsed="false" customWidth="true" hidden="false" outlineLevel="0" max="8" min="8" style="0" width="40"/>
  </cols>
  <sheetData>
    <row r="1" customFormat="false" ht="16.15" hidden="false" customHeight="false" outlineLevel="0" collapsed="false">
      <c r="A1" s="6" t="s">
        <v>20</v>
      </c>
    </row>
    <row r="2" customFormat="false" ht="45" hidden="false" customHeight="true" outlineLevel="0" collapsed="false">
      <c r="A2" s="7" t="s">
        <v>21</v>
      </c>
      <c r="B2" s="7"/>
      <c r="C2" s="7"/>
      <c r="D2" s="7"/>
      <c r="E2" s="7"/>
      <c r="F2" s="7"/>
      <c r="G2" s="7"/>
      <c r="H2" s="7"/>
    </row>
    <row r="4" customFormat="false" ht="26.85" hidden="false" customHeight="false" outlineLevel="0" collapsed="false">
      <c r="A4" s="8" t="s">
        <v>22</v>
      </c>
      <c r="B4" s="8" t="s">
        <v>23</v>
      </c>
      <c r="C4" s="8" t="s">
        <v>24</v>
      </c>
      <c r="D4" s="8" t="s">
        <v>25</v>
      </c>
      <c r="E4" s="8" t="s">
        <v>26</v>
      </c>
      <c r="F4" s="8" t="s">
        <v>27</v>
      </c>
      <c r="G4" s="8" t="s">
        <v>28</v>
      </c>
      <c r="H4" s="8" t="s">
        <v>29</v>
      </c>
    </row>
    <row r="5" customFormat="false" ht="15" hidden="false" customHeight="false" outlineLevel="0" collapsed="false">
      <c r="A5" s="9" t="s">
        <v>30</v>
      </c>
      <c r="B5" s="9" t="s">
        <v>31</v>
      </c>
      <c r="C5" s="9" t="s">
        <v>32</v>
      </c>
      <c r="D5" s="9" t="s">
        <v>33</v>
      </c>
      <c r="E5" s="9" t="s">
        <v>34</v>
      </c>
      <c r="F5" s="9" t="s">
        <v>35</v>
      </c>
      <c r="G5" s="9" t="s">
        <v>36</v>
      </c>
      <c r="H5" s="9" t="s">
        <v>37</v>
      </c>
    </row>
    <row r="6" customFormat="false" ht="15" hidden="false" customHeight="false" outlineLevel="0" collapsed="false">
      <c r="A6" s="10" t="s">
        <v>38</v>
      </c>
      <c r="B6" s="10" t="s">
        <v>39</v>
      </c>
      <c r="C6" s="10" t="s">
        <v>40</v>
      </c>
      <c r="D6" s="10" t="s">
        <v>32</v>
      </c>
      <c r="E6" s="10" t="s">
        <v>41</v>
      </c>
      <c r="F6" s="10" t="s">
        <v>42</v>
      </c>
      <c r="G6" s="11"/>
      <c r="H6" s="11"/>
    </row>
    <row r="7" customFormat="false" ht="15" hidden="false" customHeight="false" outlineLevel="0" collapsed="false">
      <c r="A7" s="10" t="s">
        <v>43</v>
      </c>
      <c r="B7" s="10" t="s">
        <v>44</v>
      </c>
      <c r="C7" s="10" t="s">
        <v>45</v>
      </c>
      <c r="D7" s="10" t="s">
        <v>33</v>
      </c>
      <c r="E7" s="10" t="s">
        <v>46</v>
      </c>
      <c r="F7" s="10" t="s">
        <v>33</v>
      </c>
      <c r="G7" s="11"/>
      <c r="H7" s="11"/>
    </row>
    <row r="8" customFormat="false" ht="15" hidden="false" customHeight="false" outlineLevel="0" collapsed="false">
      <c r="A8" s="10" t="s">
        <v>47</v>
      </c>
      <c r="B8" s="10" t="s">
        <v>48</v>
      </c>
      <c r="C8" s="10" t="s">
        <v>49</v>
      </c>
      <c r="D8" s="10" t="s">
        <v>33</v>
      </c>
      <c r="E8" s="10" t="s">
        <v>50</v>
      </c>
      <c r="F8" s="10" t="s">
        <v>51</v>
      </c>
      <c r="G8" s="11"/>
      <c r="H8" s="11"/>
    </row>
    <row r="9" customFormat="false" ht="15" hidden="false" customHeight="false" outlineLevel="0" collapsed="false">
      <c r="A9" s="10" t="s">
        <v>52</v>
      </c>
      <c r="B9" s="10" t="s">
        <v>53</v>
      </c>
      <c r="C9" s="10" t="s">
        <v>45</v>
      </c>
      <c r="D9" s="10" t="s">
        <v>33</v>
      </c>
      <c r="E9" s="10" t="s">
        <v>54</v>
      </c>
      <c r="F9" s="10" t="s">
        <v>33</v>
      </c>
      <c r="G9" s="11"/>
      <c r="H9" s="11"/>
    </row>
    <row r="10" customFormat="false" ht="15" hidden="false" customHeight="false" outlineLevel="0" collapsed="false">
      <c r="A10" s="10" t="s">
        <v>55</v>
      </c>
      <c r="B10" s="10" t="s">
        <v>56</v>
      </c>
      <c r="C10" s="10" t="s">
        <v>40</v>
      </c>
      <c r="D10" s="10" t="s">
        <v>32</v>
      </c>
      <c r="E10" s="10" t="s">
        <v>57</v>
      </c>
      <c r="F10" s="10" t="s">
        <v>58</v>
      </c>
      <c r="G10" s="11"/>
      <c r="H10" s="11"/>
    </row>
    <row r="11" customFormat="false" ht="15" hidden="false" customHeight="false" outlineLevel="0" collapsed="false">
      <c r="A11" s="10" t="s">
        <v>59</v>
      </c>
      <c r="B11" s="10" t="s">
        <v>60</v>
      </c>
      <c r="C11" s="10" t="s">
        <v>45</v>
      </c>
      <c r="D11" s="10" t="s">
        <v>33</v>
      </c>
      <c r="E11" s="10" t="s">
        <v>61</v>
      </c>
      <c r="F11" s="10" t="s">
        <v>62</v>
      </c>
      <c r="G11" s="11"/>
      <c r="H11" s="11"/>
    </row>
    <row r="12" customFormat="false" ht="15" hidden="false" customHeight="false" outlineLevel="0" collapsed="false">
      <c r="A12" s="10" t="s">
        <v>63</v>
      </c>
      <c r="B12" s="10" t="s">
        <v>64</v>
      </c>
      <c r="C12" s="10" t="s">
        <v>65</v>
      </c>
      <c r="D12" s="10" t="s">
        <v>33</v>
      </c>
      <c r="E12" s="10" t="s">
        <v>66</v>
      </c>
      <c r="F12" s="10" t="s">
        <v>67</v>
      </c>
      <c r="G12" s="11"/>
      <c r="H12" s="11"/>
    </row>
    <row r="13" customFormat="false" ht="15" hidden="false" customHeight="false" outlineLevel="0" collapsed="false">
      <c r="A13" s="10" t="s">
        <v>68</v>
      </c>
      <c r="B13" s="10" t="s">
        <v>69</v>
      </c>
      <c r="C13" s="10" t="s">
        <v>70</v>
      </c>
      <c r="D13" s="10" t="s">
        <v>65</v>
      </c>
      <c r="E13" s="10" t="s">
        <v>71</v>
      </c>
      <c r="F13" s="10" t="s">
        <v>72</v>
      </c>
      <c r="G13" s="11"/>
      <c r="H13" s="11"/>
    </row>
    <row r="14" customFormat="false" ht="15" hidden="false" customHeight="false" outlineLevel="0" collapsed="false">
      <c r="A14" s="10" t="s">
        <v>73</v>
      </c>
      <c r="B14" s="10" t="s">
        <v>74</v>
      </c>
      <c r="C14" s="10" t="s">
        <v>45</v>
      </c>
      <c r="D14" s="10" t="s">
        <v>33</v>
      </c>
      <c r="E14" s="10" t="s">
        <v>75</v>
      </c>
      <c r="F14" s="10" t="s">
        <v>76</v>
      </c>
      <c r="G14" s="11"/>
      <c r="H14" s="11"/>
    </row>
    <row r="15" customFormat="false" ht="15" hidden="false" customHeight="false" outlineLevel="0" collapsed="false">
      <c r="A15" s="10" t="s">
        <v>77</v>
      </c>
      <c r="B15" s="10" t="s">
        <v>78</v>
      </c>
      <c r="C15" s="10" t="s">
        <v>79</v>
      </c>
      <c r="D15" s="10" t="s">
        <v>33</v>
      </c>
      <c r="E15" s="10" t="s">
        <v>33</v>
      </c>
      <c r="F15" s="10" t="s">
        <v>33</v>
      </c>
      <c r="G15" s="11"/>
      <c r="H15" s="11"/>
    </row>
    <row r="16" customFormat="false" ht="23.85" hidden="false" customHeight="false" outlineLevel="0" collapsed="false">
      <c r="A16" s="10" t="s">
        <v>80</v>
      </c>
      <c r="B16" s="10" t="s">
        <v>81</v>
      </c>
      <c r="C16" s="10" t="s">
        <v>82</v>
      </c>
      <c r="D16" s="10" t="s">
        <v>33</v>
      </c>
      <c r="E16" s="10" t="s">
        <v>83</v>
      </c>
      <c r="F16" s="10" t="s">
        <v>84</v>
      </c>
      <c r="G16" s="11"/>
      <c r="H16" s="11"/>
    </row>
  </sheetData>
  <mergeCells count="1">
    <mergeCell ref="A2:H2"/>
  </mergeCells>
  <dataValidations count="1">
    <dataValidation allowBlank="true" errorStyle="stop" operator="between" showDropDown="false" showErrorMessage="false" showInputMessage="false" sqref="G6:G16" type="list">
      <formula1>"Agree,Agree with change,Disagree"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7"/>
    <col collapsed="false" customWidth="true" hidden="false" outlineLevel="0" max="3" min="3" style="0" width="40"/>
    <col collapsed="false" customWidth="true" hidden="false" outlineLevel="0" max="4" min="4" style="0" width="14"/>
    <col collapsed="false" customWidth="true" hidden="false" outlineLevel="0" max="5" min="5" style="0" width="22"/>
    <col collapsed="false" customWidth="true" hidden="false" outlineLevel="0" max="6" min="6" style="0" width="36"/>
    <col collapsed="false" customWidth="true" hidden="false" outlineLevel="0" max="7" min="7" style="0" width="10"/>
    <col collapsed="false" customWidth="true" hidden="false" outlineLevel="0" max="8" min="8" style="0" width="12"/>
    <col collapsed="false" customWidth="true" hidden="false" outlineLevel="0" max="9" min="9" style="0" width="18"/>
    <col collapsed="false" customWidth="true" hidden="false" outlineLevel="0" max="10" min="10" style="0" width="40"/>
  </cols>
  <sheetData>
    <row r="1" customFormat="false" ht="16.15" hidden="false" customHeight="false" outlineLevel="0" collapsed="false">
      <c r="A1" s="6" t="s">
        <v>85</v>
      </c>
    </row>
    <row r="2" customFormat="false" ht="45" hidden="false" customHeight="true" outlineLevel="0" collapsed="false">
      <c r="A2" s="7" t="s">
        <v>86</v>
      </c>
      <c r="B2" s="7"/>
      <c r="C2" s="7"/>
      <c r="D2" s="7"/>
      <c r="E2" s="7"/>
      <c r="F2" s="7"/>
      <c r="G2" s="7"/>
      <c r="H2" s="7"/>
      <c r="I2" s="7"/>
      <c r="J2" s="7"/>
    </row>
    <row r="4" customFormat="false" ht="26.85" hidden="false" customHeight="false" outlineLevel="0" collapsed="false">
      <c r="A4" s="8" t="s">
        <v>87</v>
      </c>
      <c r="B4" s="8" t="s">
        <v>88</v>
      </c>
      <c r="C4" s="8" t="s">
        <v>89</v>
      </c>
      <c r="D4" s="8" t="s">
        <v>90</v>
      </c>
      <c r="E4" s="8" t="s">
        <v>91</v>
      </c>
      <c r="F4" s="8" t="s">
        <v>92</v>
      </c>
      <c r="G4" s="8" t="s">
        <v>93</v>
      </c>
      <c r="H4" s="8" t="s">
        <v>94</v>
      </c>
      <c r="I4" s="8" t="s">
        <v>28</v>
      </c>
      <c r="J4" s="8" t="s">
        <v>29</v>
      </c>
    </row>
    <row r="5" customFormat="false" ht="15" hidden="false" customHeight="false" outlineLevel="0" collapsed="false">
      <c r="A5" s="9" t="s">
        <v>95</v>
      </c>
      <c r="B5" s="9" t="s">
        <v>96</v>
      </c>
      <c r="C5" s="9" t="s">
        <v>97</v>
      </c>
      <c r="D5" s="9" t="s">
        <v>32</v>
      </c>
      <c r="E5" s="9" t="s">
        <v>98</v>
      </c>
      <c r="F5" s="9" t="s">
        <v>99</v>
      </c>
      <c r="G5" s="9" t="s">
        <v>100</v>
      </c>
      <c r="H5" s="9" t="s">
        <v>101</v>
      </c>
      <c r="I5" s="9" t="s">
        <v>102</v>
      </c>
      <c r="J5" s="9"/>
    </row>
    <row r="6" customFormat="false" ht="35.05" hidden="false" customHeight="false" outlineLevel="0" collapsed="false">
      <c r="A6" s="10" t="s">
        <v>103</v>
      </c>
      <c r="B6" s="10" t="s">
        <v>104</v>
      </c>
      <c r="C6" s="10" t="s">
        <v>105</v>
      </c>
      <c r="D6" s="10" t="s">
        <v>32</v>
      </c>
      <c r="E6" s="10" t="s">
        <v>106</v>
      </c>
      <c r="F6" s="10" t="s">
        <v>107</v>
      </c>
      <c r="G6" s="10" t="s">
        <v>100</v>
      </c>
      <c r="H6" s="10" t="s">
        <v>101</v>
      </c>
      <c r="I6" s="11"/>
      <c r="J6" s="11"/>
    </row>
    <row r="7" customFormat="false" ht="23.85" hidden="false" customHeight="false" outlineLevel="0" collapsed="false">
      <c r="A7" s="10" t="s">
        <v>108</v>
      </c>
      <c r="B7" s="10" t="s">
        <v>104</v>
      </c>
      <c r="C7" s="10" t="s">
        <v>109</v>
      </c>
      <c r="D7" s="10" t="s">
        <v>110</v>
      </c>
      <c r="E7" s="10" t="s">
        <v>98</v>
      </c>
      <c r="F7" s="10" t="s">
        <v>111</v>
      </c>
      <c r="G7" s="10" t="s">
        <v>112</v>
      </c>
      <c r="H7" s="10" t="s">
        <v>113</v>
      </c>
      <c r="I7" s="11"/>
      <c r="J7" s="11"/>
    </row>
    <row r="8" customFormat="false" ht="23.85" hidden="false" customHeight="false" outlineLevel="0" collapsed="false">
      <c r="A8" s="10" t="s">
        <v>114</v>
      </c>
      <c r="B8" s="10" t="s">
        <v>104</v>
      </c>
      <c r="C8" s="10" t="s">
        <v>115</v>
      </c>
      <c r="D8" s="10" t="s">
        <v>65</v>
      </c>
      <c r="E8" s="10" t="s">
        <v>98</v>
      </c>
      <c r="F8" s="10" t="s">
        <v>116</v>
      </c>
      <c r="G8" s="10" t="s">
        <v>100</v>
      </c>
      <c r="H8" s="10" t="s">
        <v>113</v>
      </c>
      <c r="I8" s="11"/>
      <c r="J8" s="11"/>
    </row>
    <row r="9" customFormat="false" ht="35.05" hidden="false" customHeight="false" outlineLevel="0" collapsed="false">
      <c r="A9" s="10" t="s">
        <v>117</v>
      </c>
      <c r="B9" s="10" t="s">
        <v>104</v>
      </c>
      <c r="C9" s="10" t="s">
        <v>118</v>
      </c>
      <c r="D9" s="10" t="s">
        <v>70</v>
      </c>
      <c r="E9" s="10" t="s">
        <v>98</v>
      </c>
      <c r="F9" s="10" t="s">
        <v>119</v>
      </c>
      <c r="G9" s="10" t="s">
        <v>100</v>
      </c>
      <c r="H9" s="10" t="s">
        <v>120</v>
      </c>
      <c r="I9" s="11"/>
      <c r="J9" s="11"/>
    </row>
    <row r="10" customFormat="false" ht="35.05" hidden="false" customHeight="false" outlineLevel="0" collapsed="false">
      <c r="A10" s="10" t="s">
        <v>121</v>
      </c>
      <c r="B10" s="10" t="s">
        <v>104</v>
      </c>
      <c r="C10" s="10" t="s">
        <v>122</v>
      </c>
      <c r="D10" s="10" t="s">
        <v>45</v>
      </c>
      <c r="E10" s="10" t="s">
        <v>98</v>
      </c>
      <c r="F10" s="10" t="s">
        <v>123</v>
      </c>
      <c r="G10" s="10" t="s">
        <v>100</v>
      </c>
      <c r="H10" s="10" t="s">
        <v>124</v>
      </c>
      <c r="I10" s="11"/>
      <c r="J10" s="11"/>
    </row>
    <row r="11" customFormat="false" ht="23.85" hidden="false" customHeight="false" outlineLevel="0" collapsed="false">
      <c r="A11" s="10" t="s">
        <v>125</v>
      </c>
      <c r="B11" s="10" t="s">
        <v>104</v>
      </c>
      <c r="C11" s="10" t="s">
        <v>126</v>
      </c>
      <c r="D11" s="10" t="s">
        <v>127</v>
      </c>
      <c r="E11" s="10" t="s">
        <v>98</v>
      </c>
      <c r="F11" s="10" t="s">
        <v>128</v>
      </c>
      <c r="G11" s="10" t="s">
        <v>129</v>
      </c>
      <c r="H11" s="10" t="s">
        <v>101</v>
      </c>
      <c r="I11" s="11"/>
      <c r="J11" s="11"/>
    </row>
    <row r="12" customFormat="false" ht="23.85" hidden="false" customHeight="false" outlineLevel="0" collapsed="false">
      <c r="A12" s="10" t="s">
        <v>130</v>
      </c>
      <c r="B12" s="10" t="s">
        <v>104</v>
      </c>
      <c r="C12" s="10" t="s">
        <v>131</v>
      </c>
      <c r="D12" s="10" t="s">
        <v>132</v>
      </c>
      <c r="E12" s="10" t="s">
        <v>98</v>
      </c>
      <c r="F12" s="10" t="s">
        <v>133</v>
      </c>
      <c r="G12" s="10" t="s">
        <v>100</v>
      </c>
      <c r="H12" s="10" t="s">
        <v>134</v>
      </c>
      <c r="I12" s="11"/>
      <c r="J12" s="11"/>
    </row>
    <row r="13" customFormat="false" ht="23.85" hidden="false" customHeight="false" outlineLevel="0" collapsed="false">
      <c r="A13" s="10" t="s">
        <v>135</v>
      </c>
      <c r="B13" s="10" t="s">
        <v>104</v>
      </c>
      <c r="C13" s="10" t="s">
        <v>136</v>
      </c>
      <c r="D13" s="10" t="s">
        <v>132</v>
      </c>
      <c r="E13" s="10" t="s">
        <v>98</v>
      </c>
      <c r="F13" s="10" t="s">
        <v>133</v>
      </c>
      <c r="G13" s="10" t="s">
        <v>100</v>
      </c>
      <c r="H13" s="10" t="s">
        <v>137</v>
      </c>
      <c r="I13" s="11"/>
      <c r="J13" s="11"/>
    </row>
    <row r="14" customFormat="false" ht="35.05" hidden="false" customHeight="false" outlineLevel="0" collapsed="false">
      <c r="A14" s="10" t="s">
        <v>138</v>
      </c>
      <c r="B14" s="10" t="s">
        <v>104</v>
      </c>
      <c r="C14" s="10" t="s">
        <v>139</v>
      </c>
      <c r="D14" s="10" t="s">
        <v>49</v>
      </c>
      <c r="E14" s="10" t="s">
        <v>98</v>
      </c>
      <c r="F14" s="10" t="s">
        <v>140</v>
      </c>
      <c r="G14" s="10" t="s">
        <v>100</v>
      </c>
      <c r="H14" s="10" t="s">
        <v>141</v>
      </c>
      <c r="I14" s="11"/>
      <c r="J14" s="11"/>
    </row>
    <row r="15" customFormat="false" ht="35.05" hidden="false" customHeight="false" outlineLevel="0" collapsed="false">
      <c r="A15" s="10" t="s">
        <v>142</v>
      </c>
      <c r="B15" s="10" t="s">
        <v>104</v>
      </c>
      <c r="C15" s="10" t="s">
        <v>143</v>
      </c>
      <c r="D15" s="10" t="s">
        <v>144</v>
      </c>
      <c r="E15" s="10" t="s">
        <v>98</v>
      </c>
      <c r="F15" s="10" t="s">
        <v>145</v>
      </c>
      <c r="G15" s="10" t="s">
        <v>100</v>
      </c>
      <c r="H15" s="10" t="s">
        <v>146</v>
      </c>
      <c r="I15" s="11"/>
      <c r="J15" s="11"/>
    </row>
    <row r="16" customFormat="false" ht="35.05" hidden="false" customHeight="false" outlineLevel="0" collapsed="false">
      <c r="A16" s="10" t="s">
        <v>147</v>
      </c>
      <c r="B16" s="10" t="s">
        <v>104</v>
      </c>
      <c r="C16" s="10" t="s">
        <v>148</v>
      </c>
      <c r="D16" s="10" t="s">
        <v>149</v>
      </c>
      <c r="E16" s="10" t="s">
        <v>98</v>
      </c>
      <c r="F16" s="10" t="s">
        <v>150</v>
      </c>
      <c r="G16" s="10" t="s">
        <v>100</v>
      </c>
      <c r="H16" s="10" t="s">
        <v>151</v>
      </c>
      <c r="I16" s="11"/>
      <c r="J16" s="11"/>
    </row>
    <row r="17" customFormat="false" ht="15" hidden="false" customHeight="false" outlineLevel="0" collapsed="false">
      <c r="A17" s="10" t="s">
        <v>152</v>
      </c>
      <c r="B17" s="10" t="s">
        <v>104</v>
      </c>
      <c r="C17" s="10" t="s">
        <v>153</v>
      </c>
      <c r="D17" s="10" t="s">
        <v>149</v>
      </c>
      <c r="E17" s="10" t="s">
        <v>98</v>
      </c>
      <c r="F17" s="10" t="s">
        <v>154</v>
      </c>
      <c r="G17" s="10" t="s">
        <v>100</v>
      </c>
      <c r="H17" s="10" t="s">
        <v>155</v>
      </c>
      <c r="I17" s="11"/>
      <c r="J17" s="11"/>
    </row>
    <row r="18" customFormat="false" ht="23.85" hidden="false" customHeight="false" outlineLevel="0" collapsed="false">
      <c r="A18" s="10" t="s">
        <v>156</v>
      </c>
      <c r="B18" s="10" t="s">
        <v>104</v>
      </c>
      <c r="C18" s="10" t="s">
        <v>157</v>
      </c>
      <c r="D18" s="10" t="s">
        <v>45</v>
      </c>
      <c r="E18" s="10" t="s">
        <v>98</v>
      </c>
      <c r="F18" s="10" t="s">
        <v>158</v>
      </c>
      <c r="G18" s="10" t="s">
        <v>100</v>
      </c>
      <c r="H18" s="10" t="s">
        <v>159</v>
      </c>
      <c r="I18" s="11"/>
      <c r="J18" s="11"/>
    </row>
    <row r="19" customFormat="false" ht="23.85" hidden="false" customHeight="false" outlineLevel="0" collapsed="false">
      <c r="A19" s="10" t="s">
        <v>160</v>
      </c>
      <c r="B19" s="10" t="s">
        <v>104</v>
      </c>
      <c r="C19" s="10" t="s">
        <v>161</v>
      </c>
      <c r="D19" s="10" t="s">
        <v>45</v>
      </c>
      <c r="E19" s="10" t="s">
        <v>98</v>
      </c>
      <c r="F19" s="10" t="s">
        <v>158</v>
      </c>
      <c r="G19" s="10" t="s">
        <v>100</v>
      </c>
      <c r="H19" s="10" t="s">
        <v>159</v>
      </c>
      <c r="I19" s="11"/>
      <c r="J19" s="11"/>
    </row>
    <row r="20" customFormat="false" ht="35.05" hidden="false" customHeight="false" outlineLevel="0" collapsed="false">
      <c r="A20" s="10" t="s">
        <v>162</v>
      </c>
      <c r="B20" s="10" t="s">
        <v>104</v>
      </c>
      <c r="C20" s="10" t="s">
        <v>163</v>
      </c>
      <c r="D20" s="10" t="s">
        <v>79</v>
      </c>
      <c r="E20" s="10" t="s">
        <v>98</v>
      </c>
      <c r="F20" s="10" t="s">
        <v>164</v>
      </c>
      <c r="G20" s="10" t="s">
        <v>100</v>
      </c>
      <c r="H20" s="10" t="s">
        <v>165</v>
      </c>
      <c r="I20" s="11"/>
      <c r="J20" s="11"/>
    </row>
    <row r="21" customFormat="false" ht="15" hidden="false" customHeight="false" outlineLevel="0" collapsed="false">
      <c r="A21" s="10" t="s">
        <v>166</v>
      </c>
      <c r="B21" s="10" t="s">
        <v>104</v>
      </c>
      <c r="C21" s="10" t="s">
        <v>167</v>
      </c>
      <c r="D21" s="10" t="s">
        <v>168</v>
      </c>
      <c r="E21" s="10" t="s">
        <v>98</v>
      </c>
      <c r="F21" s="10" t="s">
        <v>169</v>
      </c>
      <c r="G21" s="10" t="s">
        <v>100</v>
      </c>
      <c r="H21" s="10" t="s">
        <v>170</v>
      </c>
      <c r="I21" s="11"/>
      <c r="J21" s="11"/>
    </row>
    <row r="22" customFormat="false" ht="35.05" hidden="false" customHeight="false" outlineLevel="0" collapsed="false">
      <c r="A22" s="10" t="s">
        <v>171</v>
      </c>
      <c r="B22" s="10" t="s">
        <v>172</v>
      </c>
      <c r="C22" s="10" t="s">
        <v>173</v>
      </c>
      <c r="D22" s="10" t="s">
        <v>32</v>
      </c>
      <c r="E22" s="10" t="s">
        <v>174</v>
      </c>
      <c r="F22" s="10" t="s">
        <v>154</v>
      </c>
      <c r="G22" s="10" t="s">
        <v>100</v>
      </c>
      <c r="H22" s="10" t="s">
        <v>175</v>
      </c>
      <c r="I22" s="11"/>
      <c r="J22" s="11"/>
    </row>
    <row r="23" customFormat="false" ht="23.85" hidden="false" customHeight="false" outlineLevel="0" collapsed="false">
      <c r="A23" s="10" t="s">
        <v>176</v>
      </c>
      <c r="B23" s="10" t="s">
        <v>172</v>
      </c>
      <c r="C23" s="10" t="s">
        <v>177</v>
      </c>
      <c r="D23" s="10" t="s">
        <v>45</v>
      </c>
      <c r="E23" s="10" t="s">
        <v>98</v>
      </c>
      <c r="F23" s="10" t="s">
        <v>178</v>
      </c>
      <c r="G23" s="10" t="s">
        <v>179</v>
      </c>
      <c r="H23" s="10" t="s">
        <v>180</v>
      </c>
      <c r="I23" s="11"/>
      <c r="J23" s="11"/>
    </row>
    <row r="24" customFormat="false" ht="35.05" hidden="false" customHeight="false" outlineLevel="0" collapsed="false">
      <c r="A24" s="10" t="s">
        <v>181</v>
      </c>
      <c r="B24" s="10" t="s">
        <v>182</v>
      </c>
      <c r="C24" s="10" t="s">
        <v>183</v>
      </c>
      <c r="D24" s="10" t="s">
        <v>82</v>
      </c>
      <c r="E24" s="10" t="s">
        <v>184</v>
      </c>
      <c r="F24" s="10" t="s">
        <v>185</v>
      </c>
      <c r="G24" s="10" t="s">
        <v>100</v>
      </c>
      <c r="H24" s="10" t="s">
        <v>186</v>
      </c>
      <c r="I24" s="11"/>
      <c r="J24" s="11"/>
    </row>
    <row r="25" customFormat="false" ht="23.85" hidden="false" customHeight="false" outlineLevel="0" collapsed="false">
      <c r="A25" s="10" t="s">
        <v>187</v>
      </c>
      <c r="B25" s="10" t="s">
        <v>182</v>
      </c>
      <c r="C25" s="10" t="s">
        <v>188</v>
      </c>
      <c r="D25" s="10" t="s">
        <v>189</v>
      </c>
      <c r="E25" s="10" t="s">
        <v>190</v>
      </c>
      <c r="F25" s="10" t="s">
        <v>191</v>
      </c>
      <c r="G25" s="10" t="s">
        <v>179</v>
      </c>
      <c r="H25" s="10" t="s">
        <v>180</v>
      </c>
      <c r="I25" s="11"/>
      <c r="J25" s="11"/>
    </row>
    <row r="26" customFormat="false" ht="35.05" hidden="false" customHeight="false" outlineLevel="0" collapsed="false">
      <c r="A26" s="10" t="s">
        <v>192</v>
      </c>
      <c r="B26" s="10" t="s">
        <v>193</v>
      </c>
      <c r="C26" s="10" t="s">
        <v>194</v>
      </c>
      <c r="D26" s="10" t="s">
        <v>195</v>
      </c>
      <c r="E26" s="10" t="s">
        <v>196</v>
      </c>
      <c r="F26" s="10" t="s">
        <v>197</v>
      </c>
      <c r="G26" s="10" t="s">
        <v>179</v>
      </c>
      <c r="H26" s="10" t="s">
        <v>151</v>
      </c>
      <c r="I26" s="11"/>
      <c r="J26" s="11"/>
    </row>
    <row r="27" customFormat="false" ht="35.05" hidden="false" customHeight="false" outlineLevel="0" collapsed="false">
      <c r="A27" s="10" t="s">
        <v>198</v>
      </c>
      <c r="B27" s="10" t="s">
        <v>199</v>
      </c>
      <c r="C27" s="10" t="s">
        <v>200</v>
      </c>
      <c r="D27" s="10" t="s">
        <v>201</v>
      </c>
      <c r="E27" s="10" t="s">
        <v>202</v>
      </c>
      <c r="F27" s="10" t="s">
        <v>203</v>
      </c>
      <c r="G27" s="10" t="s">
        <v>179</v>
      </c>
      <c r="H27" s="10" t="s">
        <v>204</v>
      </c>
      <c r="I27" s="11"/>
      <c r="J27" s="11"/>
    </row>
  </sheetData>
  <mergeCells count="1">
    <mergeCell ref="A2:J2"/>
  </mergeCells>
  <dataValidations count="1">
    <dataValidation allowBlank="true" errorStyle="stop" operator="between" showDropDown="false" showErrorMessage="false" showInputMessage="false" sqref="I6:I27" type="list">
      <formula1>"Agree,Agree with change,Disagree"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90"/>
    <col collapsed="false" customWidth="true" hidden="false" outlineLevel="0" max="3" min="3" style="0" width="18"/>
    <col collapsed="false" customWidth="true" hidden="false" outlineLevel="0" max="4" min="4" style="0" width="45"/>
  </cols>
  <sheetData>
    <row r="1" customFormat="false" ht="16.15" hidden="false" customHeight="false" outlineLevel="0" collapsed="false">
      <c r="A1" s="6" t="s">
        <v>94</v>
      </c>
    </row>
    <row r="2" customFormat="false" ht="45" hidden="false" customHeight="true" outlineLevel="0" collapsed="false">
      <c r="A2" s="7" t="s">
        <v>205</v>
      </c>
      <c r="B2" s="7"/>
      <c r="C2" s="7"/>
      <c r="D2" s="7"/>
    </row>
    <row r="4" customFormat="false" ht="15" hidden="false" customHeight="false" outlineLevel="0" collapsed="false">
      <c r="A4" s="8" t="s">
        <v>22</v>
      </c>
      <c r="B4" s="8" t="s">
        <v>206</v>
      </c>
      <c r="C4" s="8" t="s">
        <v>28</v>
      </c>
      <c r="D4" s="8" t="s">
        <v>29</v>
      </c>
    </row>
    <row r="5" customFormat="false" ht="15" hidden="false" customHeight="false" outlineLevel="0" collapsed="false">
      <c r="A5" s="9" t="s">
        <v>207</v>
      </c>
      <c r="B5" s="9" t="s">
        <v>208</v>
      </c>
      <c r="C5" s="9" t="s">
        <v>102</v>
      </c>
      <c r="D5" s="9"/>
    </row>
    <row r="6" customFormat="false" ht="23.85" hidden="false" customHeight="false" outlineLevel="0" collapsed="false">
      <c r="A6" s="10" t="s">
        <v>134</v>
      </c>
      <c r="B6" s="10" t="s">
        <v>209</v>
      </c>
      <c r="C6" s="11"/>
      <c r="D6" s="11"/>
    </row>
    <row r="7" customFormat="false" ht="23.85" hidden="false" customHeight="false" outlineLevel="0" collapsed="false">
      <c r="A7" s="10" t="s">
        <v>210</v>
      </c>
      <c r="B7" s="10" t="s">
        <v>211</v>
      </c>
      <c r="C7" s="11"/>
      <c r="D7" s="11"/>
    </row>
    <row r="8" customFormat="false" ht="23.85" hidden="false" customHeight="false" outlineLevel="0" collapsed="false">
      <c r="A8" s="10" t="s">
        <v>212</v>
      </c>
      <c r="B8" s="10" t="s">
        <v>213</v>
      </c>
      <c r="C8" s="11"/>
      <c r="D8" s="11"/>
    </row>
    <row r="9" customFormat="false" ht="23.85" hidden="false" customHeight="false" outlineLevel="0" collapsed="false">
      <c r="A9" s="10" t="s">
        <v>151</v>
      </c>
      <c r="B9" s="10" t="s">
        <v>214</v>
      </c>
      <c r="C9" s="11"/>
      <c r="D9" s="11"/>
    </row>
    <row r="10" customFormat="false" ht="23.85" hidden="false" customHeight="false" outlineLevel="0" collapsed="false">
      <c r="A10" s="10" t="s">
        <v>101</v>
      </c>
      <c r="B10" s="10" t="s">
        <v>215</v>
      </c>
      <c r="C10" s="11"/>
      <c r="D10" s="11"/>
    </row>
    <row r="11" customFormat="false" ht="15" hidden="false" customHeight="false" outlineLevel="0" collapsed="false">
      <c r="A11" s="10" t="s">
        <v>165</v>
      </c>
      <c r="B11" s="10" t="s">
        <v>216</v>
      </c>
      <c r="C11" s="11"/>
      <c r="D11" s="11"/>
    </row>
    <row r="12" customFormat="false" ht="23.85" hidden="false" customHeight="false" outlineLevel="0" collapsed="false">
      <c r="A12" s="10" t="s">
        <v>113</v>
      </c>
      <c r="B12" s="10" t="s">
        <v>217</v>
      </c>
      <c r="C12" s="11"/>
      <c r="D12" s="11"/>
    </row>
    <row r="13" customFormat="false" ht="35.05" hidden="false" customHeight="false" outlineLevel="0" collapsed="false">
      <c r="A13" s="10" t="s">
        <v>218</v>
      </c>
      <c r="B13" s="10" t="s">
        <v>219</v>
      </c>
      <c r="C13" s="11"/>
      <c r="D13" s="11"/>
    </row>
    <row r="14" customFormat="false" ht="23.85" hidden="false" customHeight="false" outlineLevel="0" collapsed="false">
      <c r="A14" s="10" t="s">
        <v>146</v>
      </c>
      <c r="B14" s="10" t="s">
        <v>220</v>
      </c>
      <c r="C14" s="11"/>
      <c r="D14" s="11"/>
    </row>
    <row r="15" customFormat="false" ht="23.85" hidden="false" customHeight="false" outlineLevel="0" collapsed="false">
      <c r="A15" s="10" t="s">
        <v>221</v>
      </c>
      <c r="B15" s="10" t="s">
        <v>222</v>
      </c>
      <c r="C15" s="11"/>
      <c r="D15" s="11"/>
    </row>
    <row r="16" customFormat="false" ht="35.05" hidden="false" customHeight="false" outlineLevel="0" collapsed="false">
      <c r="A16" s="10" t="s">
        <v>223</v>
      </c>
      <c r="B16" s="10" t="s">
        <v>224</v>
      </c>
      <c r="C16" s="11"/>
      <c r="D16" s="11"/>
    </row>
    <row r="17" customFormat="false" ht="23.85" hidden="false" customHeight="false" outlineLevel="0" collapsed="false">
      <c r="A17" s="10" t="s">
        <v>159</v>
      </c>
      <c r="B17" s="10" t="s">
        <v>225</v>
      </c>
      <c r="C17" s="11"/>
      <c r="D17" s="11"/>
    </row>
    <row r="18" customFormat="false" ht="23.85" hidden="false" customHeight="false" outlineLevel="0" collapsed="false">
      <c r="A18" s="10" t="s">
        <v>226</v>
      </c>
      <c r="B18" s="10" t="s">
        <v>227</v>
      </c>
      <c r="C18" s="11"/>
      <c r="D18" s="11"/>
    </row>
    <row r="19" customFormat="false" ht="15" hidden="false" customHeight="false" outlineLevel="0" collapsed="false">
      <c r="A19" s="10" t="s">
        <v>170</v>
      </c>
      <c r="B19" s="10" t="s">
        <v>228</v>
      </c>
      <c r="C19" s="11"/>
      <c r="D19" s="11"/>
    </row>
    <row r="20" customFormat="false" ht="23.85" hidden="false" customHeight="false" outlineLevel="0" collapsed="false">
      <c r="A20" s="10" t="s">
        <v>229</v>
      </c>
      <c r="B20" s="10" t="s">
        <v>230</v>
      </c>
      <c r="C20" s="11"/>
      <c r="D20" s="11"/>
    </row>
    <row r="21" customFormat="false" ht="15" hidden="false" customHeight="false" outlineLevel="0" collapsed="false">
      <c r="A21" s="10" t="s">
        <v>180</v>
      </c>
      <c r="B21" s="10" t="s">
        <v>231</v>
      </c>
      <c r="C21" s="11"/>
      <c r="D21" s="11"/>
    </row>
    <row r="22" customFormat="false" ht="35.05" hidden="false" customHeight="false" outlineLevel="0" collapsed="false">
      <c r="A22" s="10" t="s">
        <v>155</v>
      </c>
      <c r="B22" s="10" t="s">
        <v>232</v>
      </c>
      <c r="C22" s="11"/>
      <c r="D22" s="11"/>
    </row>
  </sheetData>
  <mergeCells count="1">
    <mergeCell ref="A2:D2"/>
  </mergeCells>
  <dataValidations count="1">
    <dataValidation allowBlank="true" errorStyle="stop" operator="between" showDropDown="false" showErrorMessage="false" showInputMessage="false" sqref="C6:C22" type="list">
      <formula1>"Agree,Agree with change,Disagree"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7"/>
    <col collapsed="false" customWidth="true" hidden="false" outlineLevel="0" max="3" min="3" style="0" width="13"/>
    <col collapsed="false" customWidth="true" hidden="false" outlineLevel="0" max="4" min="4" style="0" width="16"/>
    <col collapsed="false" customWidth="true" hidden="false" outlineLevel="0" max="5" min="5" style="0" width="24"/>
    <col collapsed="false" customWidth="true" hidden="false" outlineLevel="0" max="6" min="6" style="0" width="22"/>
    <col collapsed="false" customWidth="true" hidden="false" outlineLevel="0" max="7" min="7" style="0" width="16"/>
    <col collapsed="false" customWidth="true" hidden="false" outlineLevel="0" max="8" min="8" style="0" width="14"/>
    <col collapsed="false" customWidth="true" hidden="false" outlineLevel="0" max="9" min="9" style="0" width="18"/>
    <col collapsed="false" customWidth="true" hidden="false" outlineLevel="0" max="10" min="10" style="0" width="40"/>
  </cols>
  <sheetData>
    <row r="1" customFormat="false" ht="16.15" hidden="false" customHeight="false" outlineLevel="0" collapsed="false">
      <c r="A1" s="6" t="s">
        <v>233</v>
      </c>
    </row>
    <row r="2" customFormat="false" ht="45" hidden="false" customHeight="true" outlineLevel="0" collapsed="false">
      <c r="A2" s="7" t="s">
        <v>234</v>
      </c>
      <c r="B2" s="7"/>
      <c r="C2" s="7"/>
      <c r="D2" s="7"/>
      <c r="E2" s="7"/>
      <c r="F2" s="7"/>
      <c r="G2" s="7"/>
      <c r="H2" s="7"/>
      <c r="I2" s="7"/>
      <c r="J2" s="7"/>
    </row>
    <row r="4" customFormat="false" ht="39.55" hidden="false" customHeight="false" outlineLevel="0" collapsed="false">
      <c r="A4" s="8" t="s">
        <v>235</v>
      </c>
      <c r="B4" s="8" t="s">
        <v>236</v>
      </c>
      <c r="C4" s="8" t="s">
        <v>237</v>
      </c>
      <c r="D4" s="8" t="s">
        <v>238</v>
      </c>
      <c r="E4" s="8" t="s">
        <v>239</v>
      </c>
      <c r="F4" s="8" t="s">
        <v>240</v>
      </c>
      <c r="G4" s="8" t="s">
        <v>241</v>
      </c>
      <c r="H4" s="8" t="s">
        <v>242</v>
      </c>
      <c r="I4" s="8" t="s">
        <v>28</v>
      </c>
      <c r="J4" s="8" t="s">
        <v>29</v>
      </c>
    </row>
    <row r="5" customFormat="false" ht="15" hidden="false" customHeight="false" outlineLevel="0" collapsed="false">
      <c r="A5" s="9" t="n">
        <v>0</v>
      </c>
      <c r="B5" s="9" t="n">
        <v>0</v>
      </c>
      <c r="C5" s="9" t="s">
        <v>235</v>
      </c>
      <c r="D5" s="9" t="s">
        <v>243</v>
      </c>
      <c r="E5" s="9" t="s">
        <v>244</v>
      </c>
      <c r="F5" s="9" t="s">
        <v>245</v>
      </c>
      <c r="G5" s="9" t="s">
        <v>40</v>
      </c>
      <c r="H5" s="9" t="s">
        <v>246</v>
      </c>
      <c r="I5" s="9" t="s">
        <v>102</v>
      </c>
      <c r="J5" s="9"/>
    </row>
    <row r="6" customFormat="false" ht="23.85" hidden="false" customHeight="false" outlineLevel="0" collapsed="false">
      <c r="A6" s="10" t="n">
        <v>1</v>
      </c>
      <c r="B6" s="10" t="n">
        <v>10</v>
      </c>
      <c r="C6" s="10" t="s">
        <v>247</v>
      </c>
      <c r="D6" s="10" t="s">
        <v>32</v>
      </c>
      <c r="E6" s="10" t="s">
        <v>248</v>
      </c>
      <c r="F6" s="10" t="s">
        <v>249</v>
      </c>
      <c r="G6" s="10" t="s">
        <v>82</v>
      </c>
      <c r="H6" s="10" t="s">
        <v>250</v>
      </c>
      <c r="I6" s="11"/>
      <c r="J6" s="11"/>
    </row>
    <row r="7" customFormat="false" ht="23.85" hidden="false" customHeight="false" outlineLevel="0" collapsed="false">
      <c r="A7" s="10" t="n">
        <v>2</v>
      </c>
      <c r="B7" s="10" t="n">
        <v>18</v>
      </c>
      <c r="C7" s="10" t="s">
        <v>247</v>
      </c>
      <c r="D7" s="10" t="s">
        <v>32</v>
      </c>
      <c r="E7" s="10" t="s">
        <v>248</v>
      </c>
      <c r="F7" s="10" t="s">
        <v>249</v>
      </c>
      <c r="G7" s="10" t="s">
        <v>82</v>
      </c>
      <c r="H7" s="10" t="s">
        <v>250</v>
      </c>
      <c r="I7" s="11"/>
      <c r="J7" s="11"/>
    </row>
    <row r="8" customFormat="false" ht="15" hidden="false" customHeight="false" outlineLevel="0" collapsed="false">
      <c r="A8" s="10" t="n">
        <v>3</v>
      </c>
      <c r="B8" s="10" t="n">
        <v>1</v>
      </c>
      <c r="C8" s="10" t="s">
        <v>235</v>
      </c>
      <c r="D8" s="10" t="s">
        <v>243</v>
      </c>
      <c r="E8" s="10" t="s">
        <v>244</v>
      </c>
      <c r="F8" s="10" t="s">
        <v>245</v>
      </c>
      <c r="G8" s="10" t="s">
        <v>40</v>
      </c>
      <c r="H8" s="10" t="s">
        <v>246</v>
      </c>
      <c r="I8" s="11"/>
      <c r="J8" s="11"/>
    </row>
    <row r="9" customFormat="false" ht="15" hidden="false" customHeight="false" outlineLevel="0" collapsed="false">
      <c r="A9" s="10" t="n">
        <v>4</v>
      </c>
      <c r="B9" s="10" t="n">
        <v>3</v>
      </c>
      <c r="C9" s="10" t="s">
        <v>235</v>
      </c>
      <c r="D9" s="10" t="s">
        <v>243</v>
      </c>
      <c r="E9" s="10" t="s">
        <v>244</v>
      </c>
      <c r="F9" s="10" t="s">
        <v>251</v>
      </c>
      <c r="G9" s="10" t="s">
        <v>49</v>
      </c>
      <c r="H9" s="10" t="s">
        <v>250</v>
      </c>
      <c r="I9" s="11"/>
      <c r="J9" s="11"/>
    </row>
    <row r="10" customFormat="false" ht="15" hidden="false" customHeight="false" outlineLevel="0" collapsed="false">
      <c r="A10" s="10" t="n">
        <v>5</v>
      </c>
      <c r="B10" s="10" t="n">
        <v>5</v>
      </c>
      <c r="C10" s="10" t="s">
        <v>235</v>
      </c>
      <c r="D10" s="10" t="s">
        <v>243</v>
      </c>
      <c r="E10" s="10" t="s">
        <v>244</v>
      </c>
      <c r="F10" s="10" t="s">
        <v>252</v>
      </c>
      <c r="G10" s="10" t="s">
        <v>40</v>
      </c>
      <c r="H10" s="10" t="s">
        <v>246</v>
      </c>
      <c r="I10" s="11"/>
      <c r="J10" s="11"/>
    </row>
    <row r="11" customFormat="false" ht="23.85" hidden="false" customHeight="false" outlineLevel="0" collapsed="false">
      <c r="A11" s="10" t="n">
        <v>6</v>
      </c>
      <c r="B11" s="10" t="n">
        <v>10</v>
      </c>
      <c r="C11" s="10" t="s">
        <v>247</v>
      </c>
      <c r="D11" s="10" t="s">
        <v>243</v>
      </c>
      <c r="E11" s="10" t="s">
        <v>248</v>
      </c>
      <c r="F11" s="10" t="s">
        <v>249</v>
      </c>
      <c r="G11" s="10" t="s">
        <v>82</v>
      </c>
      <c r="H11" s="10" t="s">
        <v>250</v>
      </c>
      <c r="I11" s="11"/>
      <c r="J11" s="11"/>
    </row>
    <row r="12" customFormat="false" ht="23.85" hidden="false" customHeight="false" outlineLevel="0" collapsed="false">
      <c r="A12" s="10" t="n">
        <v>7</v>
      </c>
      <c r="B12" s="10" t="n">
        <v>15</v>
      </c>
      <c r="C12" s="10" t="s">
        <v>253</v>
      </c>
      <c r="D12" s="10" t="s">
        <v>243</v>
      </c>
      <c r="E12" s="10" t="s">
        <v>248</v>
      </c>
      <c r="F12" s="10" t="s">
        <v>252</v>
      </c>
      <c r="G12" s="10" t="s">
        <v>40</v>
      </c>
      <c r="H12" s="10" t="s">
        <v>246</v>
      </c>
      <c r="I12" s="11"/>
      <c r="J12" s="11"/>
    </row>
    <row r="13" customFormat="false" ht="23.85" hidden="false" customHeight="false" outlineLevel="0" collapsed="false">
      <c r="A13" s="10" t="n">
        <v>8</v>
      </c>
      <c r="B13" s="10" t="n">
        <v>16</v>
      </c>
      <c r="C13" s="10" t="s">
        <v>253</v>
      </c>
      <c r="D13" s="10" t="s">
        <v>243</v>
      </c>
      <c r="E13" s="10" t="s">
        <v>248</v>
      </c>
      <c r="F13" s="10" t="s">
        <v>245</v>
      </c>
      <c r="G13" s="10" t="s">
        <v>40</v>
      </c>
      <c r="H13" s="10" t="s">
        <v>246</v>
      </c>
      <c r="I13" s="11"/>
      <c r="J13" s="11"/>
    </row>
    <row r="14" customFormat="false" ht="23.85" hidden="false" customHeight="false" outlineLevel="0" collapsed="false">
      <c r="A14" s="10" t="n">
        <v>9</v>
      </c>
      <c r="B14" s="10" t="n">
        <v>18</v>
      </c>
      <c r="C14" s="10" t="s">
        <v>247</v>
      </c>
      <c r="D14" s="10" t="s">
        <v>243</v>
      </c>
      <c r="E14" s="10" t="s">
        <v>248</v>
      </c>
      <c r="F14" s="10" t="s">
        <v>249</v>
      </c>
      <c r="G14" s="10" t="s">
        <v>82</v>
      </c>
      <c r="H14" s="10" t="s">
        <v>250</v>
      </c>
      <c r="I14" s="11"/>
      <c r="J14" s="11"/>
    </row>
    <row r="15" customFormat="false" ht="15" hidden="false" customHeight="false" outlineLevel="0" collapsed="false">
      <c r="A15" s="10" t="n">
        <v>10</v>
      </c>
      <c r="B15" s="10" t="n">
        <v>1</v>
      </c>
      <c r="C15" s="10" t="s">
        <v>235</v>
      </c>
      <c r="D15" s="10" t="s">
        <v>254</v>
      </c>
      <c r="E15" s="10" t="s">
        <v>244</v>
      </c>
      <c r="F15" s="10" t="s">
        <v>245</v>
      </c>
      <c r="G15" s="10" t="s">
        <v>40</v>
      </c>
      <c r="H15" s="10" t="s">
        <v>246</v>
      </c>
      <c r="I15" s="11"/>
      <c r="J15" s="11"/>
    </row>
    <row r="16" customFormat="false" ht="15" hidden="false" customHeight="false" outlineLevel="0" collapsed="false">
      <c r="A16" s="10" t="n">
        <v>11</v>
      </c>
      <c r="B16" s="10" t="n">
        <v>3</v>
      </c>
      <c r="C16" s="10" t="s">
        <v>235</v>
      </c>
      <c r="D16" s="10" t="s">
        <v>254</v>
      </c>
      <c r="E16" s="10" t="s">
        <v>244</v>
      </c>
      <c r="F16" s="10" t="s">
        <v>251</v>
      </c>
      <c r="G16" s="10" t="s">
        <v>49</v>
      </c>
      <c r="H16" s="10" t="s">
        <v>250</v>
      </c>
      <c r="I16" s="11"/>
      <c r="J16" s="11"/>
    </row>
    <row r="17" customFormat="false" ht="15" hidden="false" customHeight="false" outlineLevel="0" collapsed="false">
      <c r="A17" s="10" t="n">
        <v>12</v>
      </c>
      <c r="B17" s="10" t="n">
        <v>5</v>
      </c>
      <c r="C17" s="10" t="s">
        <v>235</v>
      </c>
      <c r="D17" s="10" t="s">
        <v>254</v>
      </c>
      <c r="E17" s="10" t="s">
        <v>244</v>
      </c>
      <c r="F17" s="10" t="s">
        <v>252</v>
      </c>
      <c r="G17" s="10" t="s">
        <v>40</v>
      </c>
      <c r="H17" s="10" t="s">
        <v>246</v>
      </c>
      <c r="I17" s="11"/>
      <c r="J17" s="11"/>
    </row>
    <row r="18" customFormat="false" ht="23.85" hidden="false" customHeight="false" outlineLevel="0" collapsed="false">
      <c r="A18" s="10" t="n">
        <v>13</v>
      </c>
      <c r="B18" s="10" t="n">
        <v>10</v>
      </c>
      <c r="C18" s="10" t="s">
        <v>247</v>
      </c>
      <c r="D18" s="10" t="s">
        <v>254</v>
      </c>
      <c r="E18" s="10" t="s">
        <v>248</v>
      </c>
      <c r="F18" s="10" t="s">
        <v>249</v>
      </c>
      <c r="G18" s="10" t="s">
        <v>82</v>
      </c>
      <c r="H18" s="10" t="s">
        <v>250</v>
      </c>
      <c r="I18" s="11"/>
      <c r="J18" s="11"/>
    </row>
    <row r="19" customFormat="false" ht="23.85" hidden="false" customHeight="false" outlineLevel="0" collapsed="false">
      <c r="A19" s="10" t="n">
        <v>14</v>
      </c>
      <c r="B19" s="10" t="n">
        <v>15</v>
      </c>
      <c r="C19" s="10" t="s">
        <v>253</v>
      </c>
      <c r="D19" s="10" t="s">
        <v>254</v>
      </c>
      <c r="E19" s="10" t="s">
        <v>248</v>
      </c>
      <c r="F19" s="10" t="s">
        <v>252</v>
      </c>
      <c r="G19" s="10" t="s">
        <v>40</v>
      </c>
      <c r="H19" s="10" t="s">
        <v>246</v>
      </c>
      <c r="I19" s="11"/>
      <c r="J19" s="11"/>
    </row>
    <row r="20" customFormat="false" ht="23.85" hidden="false" customHeight="false" outlineLevel="0" collapsed="false">
      <c r="A20" s="10" t="n">
        <v>15</v>
      </c>
      <c r="B20" s="10" t="n">
        <v>16</v>
      </c>
      <c r="C20" s="10" t="s">
        <v>253</v>
      </c>
      <c r="D20" s="10" t="s">
        <v>254</v>
      </c>
      <c r="E20" s="10" t="s">
        <v>248</v>
      </c>
      <c r="F20" s="10" t="s">
        <v>245</v>
      </c>
      <c r="G20" s="10" t="s">
        <v>40</v>
      </c>
      <c r="H20" s="10" t="s">
        <v>246</v>
      </c>
      <c r="I20" s="11"/>
      <c r="J20" s="11"/>
    </row>
    <row r="21" customFormat="false" ht="23.85" hidden="false" customHeight="false" outlineLevel="0" collapsed="false">
      <c r="A21" s="10" t="n">
        <v>16</v>
      </c>
      <c r="B21" s="10" t="n">
        <v>18</v>
      </c>
      <c r="C21" s="10" t="s">
        <v>247</v>
      </c>
      <c r="D21" s="10" t="s">
        <v>254</v>
      </c>
      <c r="E21" s="10" t="s">
        <v>248</v>
      </c>
      <c r="F21" s="10" t="s">
        <v>249</v>
      </c>
      <c r="G21" s="10" t="s">
        <v>82</v>
      </c>
      <c r="H21" s="10" t="s">
        <v>250</v>
      </c>
      <c r="I21" s="11"/>
      <c r="J21" s="11"/>
    </row>
    <row r="22" customFormat="false" ht="15" hidden="false" customHeight="false" outlineLevel="0" collapsed="false">
      <c r="A22" s="10" t="n">
        <v>17</v>
      </c>
      <c r="B22" s="10" t="n">
        <v>7</v>
      </c>
      <c r="C22" s="10" t="s">
        <v>255</v>
      </c>
      <c r="D22" s="10" t="s">
        <v>65</v>
      </c>
      <c r="E22" s="10" t="s">
        <v>244</v>
      </c>
      <c r="F22" s="10" t="s">
        <v>256</v>
      </c>
      <c r="G22" s="10" t="s">
        <v>65</v>
      </c>
      <c r="H22" s="10" t="s">
        <v>246</v>
      </c>
      <c r="I22" s="11"/>
      <c r="J22" s="11"/>
    </row>
    <row r="23" customFormat="false" ht="15" hidden="false" customHeight="false" outlineLevel="0" collapsed="false">
      <c r="A23" s="10" t="n">
        <v>18</v>
      </c>
      <c r="B23" s="10" t="n">
        <v>8</v>
      </c>
      <c r="C23" s="10" t="s">
        <v>257</v>
      </c>
      <c r="D23" s="10" t="s">
        <v>65</v>
      </c>
      <c r="E23" s="10" t="s">
        <v>244</v>
      </c>
      <c r="F23" s="10" t="s">
        <v>258</v>
      </c>
      <c r="G23" s="10" t="s">
        <v>70</v>
      </c>
      <c r="H23" s="10" t="s">
        <v>246</v>
      </c>
      <c r="I23" s="11"/>
      <c r="J23" s="11"/>
    </row>
    <row r="24" customFormat="false" ht="15" hidden="false" customHeight="false" outlineLevel="0" collapsed="false">
      <c r="A24" s="10" t="n">
        <v>19</v>
      </c>
      <c r="B24" s="10" t="n">
        <v>11</v>
      </c>
      <c r="C24" s="10" t="s">
        <v>259</v>
      </c>
      <c r="D24" s="10" t="s">
        <v>65</v>
      </c>
      <c r="E24" s="10" t="s">
        <v>260</v>
      </c>
      <c r="F24" s="10" t="s">
        <v>249</v>
      </c>
      <c r="G24" s="10" t="s">
        <v>82</v>
      </c>
      <c r="H24" s="10" t="s">
        <v>250</v>
      </c>
      <c r="I24" s="11"/>
      <c r="J24" s="11"/>
    </row>
    <row r="25" customFormat="false" ht="15" hidden="false" customHeight="false" outlineLevel="0" collapsed="false">
      <c r="A25" s="10" t="n">
        <v>20</v>
      </c>
      <c r="B25" s="10" t="n">
        <v>12</v>
      </c>
      <c r="C25" s="10" t="s">
        <v>259</v>
      </c>
      <c r="D25" s="10" t="s">
        <v>65</v>
      </c>
      <c r="E25" s="10" t="s">
        <v>260</v>
      </c>
      <c r="F25" s="10" t="s">
        <v>249</v>
      </c>
      <c r="G25" s="10" t="s">
        <v>82</v>
      </c>
      <c r="H25" s="10" t="s">
        <v>250</v>
      </c>
      <c r="I25" s="11"/>
      <c r="J25" s="11"/>
    </row>
    <row r="26" customFormat="false" ht="23.85" hidden="false" customHeight="false" outlineLevel="0" collapsed="false">
      <c r="A26" s="10" t="n">
        <v>21</v>
      </c>
      <c r="B26" s="10" t="n">
        <v>19</v>
      </c>
      <c r="C26" s="10" t="s">
        <v>261</v>
      </c>
      <c r="D26" s="10" t="s">
        <v>65</v>
      </c>
      <c r="E26" s="10" t="s">
        <v>248</v>
      </c>
      <c r="F26" s="10" t="s">
        <v>262</v>
      </c>
      <c r="G26" s="10" t="s">
        <v>45</v>
      </c>
      <c r="H26" s="10" t="s">
        <v>250</v>
      </c>
      <c r="I26" s="11"/>
      <c r="J26" s="11"/>
    </row>
    <row r="27" customFormat="false" ht="23.85" hidden="false" customHeight="false" outlineLevel="0" collapsed="false">
      <c r="A27" s="10" t="n">
        <v>22</v>
      </c>
      <c r="B27" s="10" t="n">
        <v>20</v>
      </c>
      <c r="C27" s="10" t="s">
        <v>261</v>
      </c>
      <c r="D27" s="10" t="s">
        <v>65</v>
      </c>
      <c r="E27" s="10" t="s">
        <v>248</v>
      </c>
      <c r="F27" s="10" t="s">
        <v>258</v>
      </c>
      <c r="G27" s="10" t="s">
        <v>70</v>
      </c>
      <c r="H27" s="10" t="s">
        <v>250</v>
      </c>
      <c r="I27" s="11"/>
      <c r="J27" s="11"/>
    </row>
    <row r="28" customFormat="false" ht="23.85" hidden="false" customHeight="false" outlineLevel="0" collapsed="false">
      <c r="A28" s="10" t="n">
        <v>23</v>
      </c>
      <c r="B28" s="10" t="n">
        <v>21</v>
      </c>
      <c r="C28" s="10" t="s">
        <v>261</v>
      </c>
      <c r="D28" s="10" t="s">
        <v>65</v>
      </c>
      <c r="E28" s="10" t="s">
        <v>248</v>
      </c>
      <c r="F28" s="10" t="s">
        <v>256</v>
      </c>
      <c r="G28" s="10" t="s">
        <v>65</v>
      </c>
      <c r="H28" s="10" t="s">
        <v>246</v>
      </c>
      <c r="I28" s="11"/>
      <c r="J28" s="11"/>
    </row>
    <row r="29" customFormat="false" ht="15" hidden="false" customHeight="false" outlineLevel="0" collapsed="false">
      <c r="A29" s="10" t="n">
        <v>24</v>
      </c>
      <c r="B29" s="10" t="n">
        <v>8</v>
      </c>
      <c r="C29" s="10" t="s">
        <v>257</v>
      </c>
      <c r="D29" s="10" t="s">
        <v>70</v>
      </c>
      <c r="E29" s="10" t="s">
        <v>244</v>
      </c>
      <c r="F29" s="10" t="s">
        <v>258</v>
      </c>
      <c r="G29" s="10" t="s">
        <v>70</v>
      </c>
      <c r="H29" s="10" t="s">
        <v>246</v>
      </c>
      <c r="I29" s="11"/>
      <c r="J29" s="11"/>
    </row>
    <row r="30" customFormat="false" ht="23.85" hidden="false" customHeight="false" outlineLevel="0" collapsed="false">
      <c r="A30" s="10" t="n">
        <v>25</v>
      </c>
      <c r="B30" s="10" t="n">
        <v>2</v>
      </c>
      <c r="C30" s="10" t="s">
        <v>263</v>
      </c>
      <c r="D30" s="10" t="s">
        <v>45</v>
      </c>
      <c r="E30" s="10" t="s">
        <v>248</v>
      </c>
      <c r="F30" s="10" t="s">
        <v>264</v>
      </c>
      <c r="G30" s="10" t="s">
        <v>45</v>
      </c>
      <c r="H30" s="10" t="s">
        <v>246</v>
      </c>
      <c r="I30" s="11"/>
      <c r="J30" s="11"/>
    </row>
    <row r="31" customFormat="false" ht="23.85" hidden="false" customHeight="false" outlineLevel="0" collapsed="false">
      <c r="A31" s="10" t="n">
        <v>26</v>
      </c>
      <c r="B31" s="10" t="n">
        <v>4</v>
      </c>
      <c r="C31" s="10" t="s">
        <v>263</v>
      </c>
      <c r="D31" s="10" t="s">
        <v>45</v>
      </c>
      <c r="E31" s="10" t="s">
        <v>248</v>
      </c>
      <c r="F31" s="10" t="s">
        <v>265</v>
      </c>
      <c r="G31" s="10" t="s">
        <v>45</v>
      </c>
      <c r="H31" s="10" t="s">
        <v>246</v>
      </c>
      <c r="I31" s="11"/>
      <c r="J31" s="11"/>
    </row>
    <row r="32" customFormat="false" ht="23.85" hidden="false" customHeight="false" outlineLevel="0" collapsed="false">
      <c r="A32" s="10" t="n">
        <v>27</v>
      </c>
      <c r="B32" s="10" t="n">
        <v>6</v>
      </c>
      <c r="C32" s="10" t="s">
        <v>263</v>
      </c>
      <c r="D32" s="10" t="s">
        <v>45</v>
      </c>
      <c r="E32" s="10" t="s">
        <v>248</v>
      </c>
      <c r="F32" s="10" t="s">
        <v>266</v>
      </c>
      <c r="G32" s="10" t="s">
        <v>45</v>
      </c>
      <c r="H32" s="10" t="s">
        <v>246</v>
      </c>
      <c r="I32" s="11"/>
      <c r="J32" s="11"/>
    </row>
    <row r="33" customFormat="false" ht="23.85" hidden="false" customHeight="false" outlineLevel="0" collapsed="false">
      <c r="A33" s="10" t="n">
        <v>28</v>
      </c>
      <c r="B33" s="10" t="n">
        <v>9</v>
      </c>
      <c r="C33" s="10" t="s">
        <v>263</v>
      </c>
      <c r="D33" s="10" t="s">
        <v>45</v>
      </c>
      <c r="E33" s="10" t="s">
        <v>248</v>
      </c>
      <c r="F33" s="10" t="s">
        <v>262</v>
      </c>
      <c r="G33" s="10" t="s">
        <v>45</v>
      </c>
      <c r="H33" s="10" t="s">
        <v>246</v>
      </c>
      <c r="I33" s="11"/>
      <c r="J33" s="11"/>
    </row>
    <row r="34" customFormat="false" ht="23.85" hidden="false" customHeight="false" outlineLevel="0" collapsed="false">
      <c r="A34" s="10" t="n">
        <v>29</v>
      </c>
      <c r="B34" s="10" t="n">
        <v>17</v>
      </c>
      <c r="C34" s="10" t="s">
        <v>267</v>
      </c>
      <c r="D34" s="10" t="s">
        <v>49</v>
      </c>
      <c r="E34" s="10" t="s">
        <v>248</v>
      </c>
      <c r="F34" s="10" t="s">
        <v>251</v>
      </c>
      <c r="G34" s="10" t="s">
        <v>49</v>
      </c>
      <c r="H34" s="10" t="s">
        <v>246</v>
      </c>
      <c r="I34" s="11"/>
      <c r="J34" s="11"/>
    </row>
    <row r="35" customFormat="false" ht="15" hidden="false" customHeight="false" outlineLevel="0" collapsed="false">
      <c r="A35" s="10" t="n">
        <v>30</v>
      </c>
      <c r="B35" s="10" t="n">
        <v>13</v>
      </c>
      <c r="C35" s="10" t="s">
        <v>268</v>
      </c>
      <c r="D35" s="10" t="s">
        <v>82</v>
      </c>
      <c r="E35" s="10" t="s">
        <v>260</v>
      </c>
      <c r="F35" s="10" t="s">
        <v>249</v>
      </c>
      <c r="G35" s="10" t="s">
        <v>82</v>
      </c>
      <c r="H35" s="10" t="s">
        <v>246</v>
      </c>
      <c r="I35" s="11"/>
      <c r="J35" s="11"/>
    </row>
    <row r="36" customFormat="false" ht="15" hidden="false" customHeight="false" outlineLevel="0" collapsed="false">
      <c r="A36" s="10" t="n">
        <v>31</v>
      </c>
      <c r="B36" s="10" t="n">
        <v>14</v>
      </c>
      <c r="C36" s="10" t="s">
        <v>268</v>
      </c>
      <c r="D36" s="10" t="s">
        <v>82</v>
      </c>
      <c r="E36" s="10" t="s">
        <v>260</v>
      </c>
      <c r="F36" s="10" t="s">
        <v>249</v>
      </c>
      <c r="G36" s="10" t="s">
        <v>82</v>
      </c>
      <c r="H36" s="10" t="s">
        <v>246</v>
      </c>
      <c r="I36" s="11"/>
      <c r="J36" s="11"/>
    </row>
    <row r="37" customFormat="false" ht="15" hidden="false" customHeight="false" outlineLevel="0" collapsed="false">
      <c r="A37" s="10" t="n">
        <v>32</v>
      </c>
      <c r="B37" s="10" t="n">
        <v>22</v>
      </c>
      <c r="C37" s="10" t="s">
        <v>268</v>
      </c>
      <c r="D37" s="10" t="s">
        <v>82</v>
      </c>
      <c r="E37" s="10" t="s">
        <v>260</v>
      </c>
      <c r="F37" s="10" t="s">
        <v>249</v>
      </c>
      <c r="G37" s="10" t="s">
        <v>82</v>
      </c>
      <c r="H37" s="10" t="s">
        <v>246</v>
      </c>
      <c r="I37" s="11"/>
      <c r="J37" s="11"/>
    </row>
  </sheetData>
  <mergeCells count="1">
    <mergeCell ref="A2:J2"/>
  </mergeCells>
  <dataValidations count="1">
    <dataValidation allowBlank="true" errorStyle="stop" operator="between" showDropDown="false" showErrorMessage="false" showInputMessage="false" sqref="I6:I37" type="list">
      <formula1>"Agree,Agree with change,Disagree"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6" min="2" style="0" width="16"/>
  </cols>
  <sheetData>
    <row r="1" customFormat="false" ht="16.15" hidden="false" customHeight="false" outlineLevel="0" collapsed="false">
      <c r="A1" s="6" t="s">
        <v>269</v>
      </c>
    </row>
    <row r="3" customFormat="false" ht="26.85" hidden="false" customHeight="false" outlineLevel="0" collapsed="false">
      <c r="A3" s="8" t="s">
        <v>270</v>
      </c>
      <c r="B3" s="8" t="s">
        <v>271</v>
      </c>
      <c r="C3" s="8" t="s">
        <v>102</v>
      </c>
      <c r="D3" s="8" t="s">
        <v>36</v>
      </c>
      <c r="E3" s="8" t="s">
        <v>272</v>
      </c>
      <c r="F3" s="8" t="s">
        <v>273</v>
      </c>
    </row>
    <row r="4" customFormat="false" ht="15" hidden="false" customHeight="false" outlineLevel="0" collapsed="false">
      <c r="A4" s="12" t="s">
        <v>20</v>
      </c>
      <c r="B4" s="10" t="n">
        <f aca="false">ROWS('Physical reference'!$G$6:$G$16)</f>
        <v>11</v>
      </c>
      <c r="C4" s="10" t="n">
        <f aca="false">COUNTIF('Physical reference'!$G$6:$G$16,"Agree")</f>
        <v>0</v>
      </c>
      <c r="D4" s="10" t="n">
        <f aca="false">COUNTIF('Physical reference'!$G$6:$G$16,"Agree with change")</f>
        <v>0</v>
      </c>
      <c r="E4" s="10" t="n">
        <f aca="false">COUNTIF('Physical reference'!$G$6:$G$16,"Disagree")</f>
        <v>0</v>
      </c>
      <c r="F4" s="10" t="n">
        <f aca="false">B4-C4-D4-E4</f>
        <v>11</v>
      </c>
    </row>
    <row r="5" customFormat="false" ht="15" hidden="false" customHeight="false" outlineLevel="0" collapsed="false">
      <c r="A5" s="12" t="s">
        <v>85</v>
      </c>
      <c r="B5" s="10" t="n">
        <f aca="false">ROWS('Reference plan'!$I$6:$I$27)</f>
        <v>22</v>
      </c>
      <c r="C5" s="10" t="n">
        <f aca="false">COUNTIF('Reference plan'!$I$6:$I$27,"Agree")</f>
        <v>0</v>
      </c>
      <c r="D5" s="10" t="n">
        <f aca="false">COUNTIF('Reference plan'!$I$6:$I$27,"Agree with change")</f>
        <v>0</v>
      </c>
      <c r="E5" s="10" t="n">
        <f aca="false">COUNTIF('Reference plan'!$I$6:$I$27,"Disagree")</f>
        <v>0</v>
      </c>
      <c r="F5" s="10" t="n">
        <f aca="false">B5-C5-D5-E5</f>
        <v>22</v>
      </c>
    </row>
    <row r="6" customFormat="false" ht="15" hidden="false" customHeight="false" outlineLevel="0" collapsed="false">
      <c r="A6" s="12" t="s">
        <v>94</v>
      </c>
      <c r="B6" s="10" t="n">
        <f aca="false">ROWS(Judgements!$C$6:$C$22)</f>
        <v>17</v>
      </c>
      <c r="C6" s="10" t="n">
        <f aca="false">COUNTIF(Judgements!$C$6:$C$22,"Agree")</f>
        <v>0</v>
      </c>
      <c r="D6" s="10" t="n">
        <f aca="false">COUNTIF(Judgements!$C$6:$C$22,"Agree with change")</f>
        <v>0</v>
      </c>
      <c r="E6" s="10" t="n">
        <f aca="false">COUNTIF(Judgements!$C$6:$C$22,"Disagree")</f>
        <v>0</v>
      </c>
      <c r="F6" s="10" t="n">
        <f aca="false">B6-C6-D6-E6</f>
        <v>17</v>
      </c>
    </row>
    <row r="7" customFormat="false" ht="15" hidden="false" customHeight="false" outlineLevel="0" collapsed="false">
      <c r="A7" s="12" t="s">
        <v>233</v>
      </c>
      <c r="B7" s="10" t="n">
        <f aca="false">ROWS('Step verdicts'!$I$6:$I$37)</f>
        <v>32</v>
      </c>
      <c r="C7" s="10" t="n">
        <f aca="false">COUNTIF('Step verdicts'!$I$6:$I$37,"Agree")</f>
        <v>0</v>
      </c>
      <c r="D7" s="10" t="n">
        <f aca="false">COUNTIF('Step verdicts'!$I$6:$I$37,"Agree with change")</f>
        <v>0</v>
      </c>
      <c r="E7" s="10" t="n">
        <f aca="false">COUNTIF('Step verdicts'!$I$6:$I$37,"Disagree")</f>
        <v>0</v>
      </c>
      <c r="F7" s="10" t="n">
        <f aca="false">B7-C7-D7-E7</f>
        <v>32</v>
      </c>
    </row>
    <row r="8" customFormat="false" ht="15" hidden="false" customHeight="false" outlineLevel="0" collapsed="false">
      <c r="A8" s="12" t="s">
        <v>274</v>
      </c>
      <c r="B8" s="12" t="n">
        <f aca="false">SUM(B4:B7)</f>
        <v>82</v>
      </c>
      <c r="C8" s="12" t="n">
        <f aca="false">SUM(C4:C7)</f>
        <v>0</v>
      </c>
      <c r="D8" s="12" t="n">
        <f aca="false">SUM(D4:D7)</f>
        <v>0</v>
      </c>
      <c r="E8" s="12" t="n">
        <f aca="false">SUM(E4:E7)</f>
        <v>0</v>
      </c>
      <c r="F8" s="12" t="n">
        <f aca="false">SUM(F4:F7)</f>
        <v>82</v>
      </c>
    </row>
    <row r="10" customFormat="false" ht="15" hidden="false" customHeight="false" outlineLevel="0" collapsed="false">
      <c r="A10" s="13" t="s">
        <v>275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2026-10-28T14:33:27Z</dcterms:created>
  <dc:creator>openpyxl</dc:creator>
  <dc:description/>
  <dc:language>en-US</dc:language>
  <cp:lastModifiedBy/>
  <dcterms:modified xsi:type="dcterms:W3CDTF">2026-10-28T14:33:27Z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